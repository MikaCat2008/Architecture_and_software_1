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zxmikacat\Desktop\dnu\labs\Architecture_and_software_1\"/>
    </mc:Choice>
  </mc:AlternateContent>
  <xr:revisionPtr revIDLastSave="0" documentId="13_ncr:1_{D12DE0A4-863C-4D52-B79E-FE308B8E6B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55" i="1"/>
  <c r="B56" i="1"/>
  <c r="B57" i="1"/>
  <c r="H54" i="1"/>
  <c r="H55" i="1"/>
  <c r="H56" i="1"/>
  <c r="H57" i="1"/>
  <c r="N42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8" i="1"/>
  <c r="N9" i="1"/>
  <c r="N10" i="1"/>
  <c r="N11" i="1"/>
  <c r="N12" i="1"/>
  <c r="N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8" i="1"/>
  <c r="H9" i="1"/>
  <c r="H10" i="1"/>
  <c r="H11" i="1"/>
  <c r="H12" i="1"/>
  <c r="H13" i="1"/>
  <c r="B8" i="1"/>
  <c r="B9" i="1"/>
  <c r="B10" i="1"/>
  <c r="B11" i="1"/>
  <c r="B12" i="1"/>
  <c r="B51" i="1"/>
  <c r="B52" i="1"/>
  <c r="B53" i="1"/>
  <c r="B48" i="1"/>
  <c r="B49" i="1"/>
  <c r="B50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13" i="1"/>
</calcChain>
</file>

<file path=xl/sharedStrings.xml><?xml version="1.0" encoding="utf-8"?>
<sst xmlns="http://schemas.openxmlformats.org/spreadsheetml/2006/main" count="15" uniqueCount="7">
  <si>
    <t>N</t>
  </si>
  <si>
    <t>V * S</t>
  </si>
  <si>
    <t>S * V</t>
  </si>
  <si>
    <t>INT</t>
  </si>
  <si>
    <t>FLOAT</t>
  </si>
  <si>
    <t>DOUBLE</t>
  </si>
  <si>
    <t>V * S [OPT]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</si>
</sst>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27">
    <xf numFmtId="0" fontId="0" fillId="0" borderId="0" xfId="0"/>
    <xf numFmtId="0" fontId="0" fillId="0" borderId="0" xfId="0" applyNumberFormat="1"/>
    <xf numFmtId="0" fontId="2" fillId="9" borderId="1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0" fontId="2" fillId="11" borderId="1" xfId="4" applyNumberFormat="1" applyFont="1" applyFill="1" applyBorder="1" applyAlignment="1">
      <alignment horizontal="center" vertical="center" wrapText="1"/>
    </xf>
    <xf numFmtId="0" fontId="2" fillId="0" borderId="0" xfId="4" applyNumberFormat="1" applyFont="1" applyFill="1" applyBorder="1" applyAlignment="1">
      <alignment vertical="center" wrapText="1"/>
    </xf>
    <xf numFmtId="0" fontId="2" fillId="12" borderId="1" xfId="6" applyNumberFormat="1" applyFont="1" applyFill="1" applyBorder="1" applyAlignment="1">
      <alignment horizontal="center" vertical="center" wrapText="1"/>
    </xf>
    <xf numFmtId="0" fontId="2" fillId="0" borderId="0" xfId="6" applyNumberFormat="1" applyFont="1" applyFill="1" applyBorder="1" applyAlignment="1">
      <alignment vertical="center" wrapText="1"/>
    </xf>
    <xf numFmtId="0" fontId="3" fillId="9" borderId="1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11" borderId="1" xfId="4" applyNumberFormat="1" applyFont="1" applyFill="1" applyBorder="1" applyAlignment="1">
      <alignment horizontal="center" vertical="center"/>
    </xf>
    <xf numFmtId="0" fontId="3" fillId="11" borderId="1" xfId="0" applyNumberFormat="1" applyFont="1" applyFill="1" applyBorder="1" applyAlignment="1">
      <alignment horizontal="center" vertical="center" wrapText="1"/>
    </xf>
    <xf numFmtId="0" fontId="3" fillId="12" borderId="1" xfId="6" applyNumberFormat="1" applyFont="1" applyFill="1" applyBorder="1" applyAlignment="1">
      <alignment horizontal="center" vertical="center"/>
    </xf>
    <xf numFmtId="0" fontId="3" fillId="12" borderId="1" xfId="0" applyNumberFormat="1" applyFont="1" applyFill="1" applyBorder="1" applyAlignment="1">
      <alignment horizontal="center" vertical="center" wrapText="1"/>
    </xf>
    <xf numFmtId="0" fontId="0" fillId="8" borderId="1" xfId="0" applyNumberFormat="1" applyFill="1" applyBorder="1" applyAlignment="1">
      <alignment horizontal="center" vertical="center"/>
    </xf>
    <xf numFmtId="0" fontId="0" fillId="8" borderId="1" xfId="0" applyNumberForma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" fillId="10" borderId="1" xfId="3" applyNumberFormat="1" applyFill="1" applyBorder="1" applyAlignment="1">
      <alignment horizontal="center" vertical="center"/>
    </xf>
    <xf numFmtId="0" fontId="1" fillId="10" borderId="1" xfId="3" applyNumberFormat="1" applyFill="1" applyBorder="1" applyAlignment="1">
      <alignment horizontal="center" vertical="center" wrapText="1"/>
    </xf>
    <xf numFmtId="0" fontId="1" fillId="0" borderId="0" xfId="3" applyNumberFormat="1" applyFill="1" applyBorder="1" applyAlignment="1">
      <alignment horizontal="center" vertical="center" wrapText="1"/>
    </xf>
    <xf numFmtId="0" fontId="1" fillId="13" borderId="1" xfId="5" applyNumberFormat="1" applyFill="1" applyBorder="1" applyAlignment="1">
      <alignment horizontal="center" vertical="center"/>
    </xf>
    <xf numFmtId="0" fontId="1" fillId="13" borderId="1" xfId="5" applyNumberFormat="1" applyFill="1" applyBorder="1" applyAlignment="1">
      <alignment horizontal="center" vertical="center" wrapText="1"/>
    </xf>
    <xf numFmtId="0" fontId="1" fillId="0" borderId="0" xfId="5" applyNumberFormat="1" applyFill="1" applyBorder="1" applyAlignment="1">
      <alignment horizontal="center" vertical="center" wrapText="1"/>
    </xf>
    <xf numFmtId="0" fontId="1" fillId="0" borderId="0" xfId="5" applyNumberFormat="1" applyFill="1" applyBorder="1" applyAlignment="1">
      <alignment horizontal="center" vertical="center"/>
    </xf>
    <xf numFmtId="0" fontId="1" fillId="8" borderId="1" xfId="1" applyNumberFormat="1" applyFill="1" applyBorder="1" applyAlignment="1">
      <alignment horizontal="center" vertical="center" wrapText="1"/>
    </xf>
    <xf numFmtId="0" fontId="1" fillId="0" borderId="0" xfId="1" applyNumberFormat="1" applyFill="1" applyBorder="1" applyAlignment="1">
      <alignment horizontal="center" vertical="center" wrapText="1"/>
    </xf>
  </cellXfs>
  <cellStyles count="7">
    <cellStyle name="40% — акцент1" xfId="1" builtinId="31"/>
    <cellStyle name="40% — акцент2" xfId="3" builtinId="35"/>
    <cellStyle name="40% — акцент6" xfId="5" builtinId="51"/>
    <cellStyle name="60% — акцент1" xfId="2" builtinId="32"/>
    <cellStyle name="60% — акцент2" xfId="4" builtinId="36"/>
    <cellStyle name="60% — акцент6" xfId="6" builtinId="5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Заміри швидкості для типу </a:t>
            </a:r>
            <a:r>
              <a:rPr lang="en-US"/>
              <a:t>INT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Лист1!$C$7</c:f>
              <c:strCache>
                <c:ptCount val="1"/>
                <c:pt idx="0">
                  <c:v>S * 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Лист1!$B$8:$B$57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Лист1!$C$8:$C$57</c:f>
              <c:numCache>
                <c:formatCode>General</c:formatCode>
                <c:ptCount val="50"/>
                <c:pt idx="0">
                  <c:v>0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7.0000000000000001E-3</c:v>
                </c:pt>
                <c:pt idx="5">
                  <c:v>0.01</c:v>
                </c:pt>
                <c:pt idx="6">
                  <c:v>1.7000000000000001E-2</c:v>
                </c:pt>
                <c:pt idx="7">
                  <c:v>0.02</c:v>
                </c:pt>
                <c:pt idx="8">
                  <c:v>0.02</c:v>
                </c:pt>
                <c:pt idx="9">
                  <c:v>3.2000000000000001E-2</c:v>
                </c:pt>
                <c:pt idx="10">
                  <c:v>3.4000000000000002E-2</c:v>
                </c:pt>
                <c:pt idx="11">
                  <c:v>3.9E-2</c:v>
                </c:pt>
                <c:pt idx="12">
                  <c:v>3.9E-2</c:v>
                </c:pt>
                <c:pt idx="13">
                  <c:v>6.2E-2</c:v>
                </c:pt>
                <c:pt idx="14">
                  <c:v>5.0999999999999997E-2</c:v>
                </c:pt>
                <c:pt idx="15">
                  <c:v>5.8999999999999997E-2</c:v>
                </c:pt>
                <c:pt idx="16">
                  <c:v>6.7000000000000004E-2</c:v>
                </c:pt>
                <c:pt idx="17">
                  <c:v>7.2999999999999995E-2</c:v>
                </c:pt>
                <c:pt idx="18">
                  <c:v>8.2000000000000003E-2</c:v>
                </c:pt>
                <c:pt idx="19">
                  <c:v>9.1999999999999998E-2</c:v>
                </c:pt>
                <c:pt idx="20">
                  <c:v>9.9000000000000005E-2</c:v>
                </c:pt>
                <c:pt idx="21">
                  <c:v>0.109</c:v>
                </c:pt>
                <c:pt idx="22">
                  <c:v>0.16400000000000001</c:v>
                </c:pt>
                <c:pt idx="23">
                  <c:v>0.13</c:v>
                </c:pt>
                <c:pt idx="24">
                  <c:v>0.14000000000000001</c:v>
                </c:pt>
                <c:pt idx="25">
                  <c:v>0.153</c:v>
                </c:pt>
                <c:pt idx="26">
                  <c:v>0.16400000000000001</c:v>
                </c:pt>
                <c:pt idx="27">
                  <c:v>0.17699999999999999</c:v>
                </c:pt>
                <c:pt idx="28">
                  <c:v>0.189</c:v>
                </c:pt>
                <c:pt idx="29">
                  <c:v>0.20200000000000001</c:v>
                </c:pt>
                <c:pt idx="30">
                  <c:v>0.219</c:v>
                </c:pt>
                <c:pt idx="31">
                  <c:v>0.22800000000000001</c:v>
                </c:pt>
                <c:pt idx="32">
                  <c:v>0.23699999999999999</c:v>
                </c:pt>
                <c:pt idx="33">
                  <c:v>0.252</c:v>
                </c:pt>
                <c:pt idx="34">
                  <c:v>0.26600000000000001</c:v>
                </c:pt>
                <c:pt idx="35">
                  <c:v>0.28199999999999997</c:v>
                </c:pt>
                <c:pt idx="36">
                  <c:v>0.29899999999999999</c:v>
                </c:pt>
                <c:pt idx="37">
                  <c:v>0.315</c:v>
                </c:pt>
                <c:pt idx="38">
                  <c:v>0.33200000000000002</c:v>
                </c:pt>
                <c:pt idx="39">
                  <c:v>0.34599999999999997</c:v>
                </c:pt>
                <c:pt idx="40">
                  <c:v>0.40500000000000003</c:v>
                </c:pt>
                <c:pt idx="41">
                  <c:v>0.38400000000000001</c:v>
                </c:pt>
                <c:pt idx="42">
                  <c:v>0.39800000000000002</c:v>
                </c:pt>
                <c:pt idx="43">
                  <c:v>0.41899999999999998</c:v>
                </c:pt>
                <c:pt idx="44">
                  <c:v>0.437</c:v>
                </c:pt>
                <c:pt idx="45">
                  <c:v>0.45700000000000002</c:v>
                </c:pt>
                <c:pt idx="46">
                  <c:v>0.499</c:v>
                </c:pt>
                <c:pt idx="47">
                  <c:v>0.49399999999999999</c:v>
                </c:pt>
                <c:pt idx="48">
                  <c:v>0.51500000000000001</c:v>
                </c:pt>
                <c:pt idx="49">
                  <c:v>0.53700000000000003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F-4F1B-8A6C-A0D985D0AF11}"/>
            </c:ext>
          </c:extLst>
        </c:ser>
        <c:ser>
          <c:idx val="1"/>
          <c:order val="1"/>
          <c:tx>
            <c:strRef>
              <c:f>Лист1!$D$7</c:f>
              <c:strCache>
                <c:ptCount val="1"/>
                <c:pt idx="0">
                  <c:v>V * 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Лист1!$B$8:$B$57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Лист1!$D$8:$D$57</c:f>
              <c:numCache>
                <c:formatCode>General</c:formatCode>
                <c:ptCount val="50"/>
                <c:pt idx="0">
                  <c:v>4.0000000000000001E-3</c:v>
                </c:pt>
                <c:pt idx="1">
                  <c:v>3.3000000000000002E-2</c:v>
                </c:pt>
                <c:pt idx="2">
                  <c:v>7.1999999999999995E-2</c:v>
                </c:pt>
                <c:pt idx="3">
                  <c:v>0.127</c:v>
                </c:pt>
                <c:pt idx="4">
                  <c:v>0.23400000000000001</c:v>
                </c:pt>
                <c:pt idx="5">
                  <c:v>0.29699999999999999</c:v>
                </c:pt>
                <c:pt idx="6">
                  <c:v>0.40600000000000003</c:v>
                </c:pt>
                <c:pt idx="7">
                  <c:v>0.82699999999999996</c:v>
                </c:pt>
                <c:pt idx="8">
                  <c:v>0.72099999999999997</c:v>
                </c:pt>
                <c:pt idx="9">
                  <c:v>0.82599999999999996</c:v>
                </c:pt>
                <c:pt idx="10">
                  <c:v>1</c:v>
                </c:pt>
                <c:pt idx="11">
                  <c:v>1.2150000000000001</c:v>
                </c:pt>
                <c:pt idx="12">
                  <c:v>1.3959999999999999</c:v>
                </c:pt>
                <c:pt idx="13">
                  <c:v>1.611</c:v>
                </c:pt>
                <c:pt idx="14">
                  <c:v>1.849</c:v>
                </c:pt>
                <c:pt idx="15">
                  <c:v>9.9969999999999999</c:v>
                </c:pt>
                <c:pt idx="16">
                  <c:v>3.4769999999999999</c:v>
                </c:pt>
                <c:pt idx="17">
                  <c:v>3.7080000000000002</c:v>
                </c:pt>
                <c:pt idx="18">
                  <c:v>4.1989999999999998</c:v>
                </c:pt>
                <c:pt idx="19">
                  <c:v>4.9669999999999996</c:v>
                </c:pt>
                <c:pt idx="20">
                  <c:v>5.3470000000000004</c:v>
                </c:pt>
                <c:pt idx="21">
                  <c:v>5.9740000000000002</c:v>
                </c:pt>
                <c:pt idx="22">
                  <c:v>6.5220000000000002</c:v>
                </c:pt>
                <c:pt idx="23">
                  <c:v>7.2050000000000001</c:v>
                </c:pt>
                <c:pt idx="24">
                  <c:v>7.8410000000000002</c:v>
                </c:pt>
                <c:pt idx="25">
                  <c:v>8.3510000000000009</c:v>
                </c:pt>
                <c:pt idx="26">
                  <c:v>9.0180000000000007</c:v>
                </c:pt>
                <c:pt idx="27">
                  <c:v>10.129</c:v>
                </c:pt>
                <c:pt idx="28">
                  <c:v>10.782</c:v>
                </c:pt>
                <c:pt idx="29">
                  <c:v>11.488</c:v>
                </c:pt>
                <c:pt idx="30">
                  <c:v>14.81</c:v>
                </c:pt>
                <c:pt idx="31">
                  <c:v>43.654000000000003</c:v>
                </c:pt>
                <c:pt idx="32">
                  <c:v>43.38</c:v>
                </c:pt>
                <c:pt idx="33">
                  <c:v>45.35</c:v>
                </c:pt>
                <c:pt idx="34">
                  <c:v>51.226999999999997</c:v>
                </c:pt>
                <c:pt idx="35">
                  <c:v>53.863</c:v>
                </c:pt>
                <c:pt idx="36">
                  <c:v>59.113999999999997</c:v>
                </c:pt>
                <c:pt idx="37">
                  <c:v>57.569000000000003</c:v>
                </c:pt>
                <c:pt idx="38">
                  <c:v>64.216999999999999</c:v>
                </c:pt>
                <c:pt idx="39">
                  <c:v>74.552000000000007</c:v>
                </c:pt>
                <c:pt idx="40">
                  <c:v>73.463999999999999</c:v>
                </c:pt>
                <c:pt idx="41">
                  <c:v>75.638999999999996</c:v>
                </c:pt>
                <c:pt idx="42">
                  <c:v>81.245999999999995</c:v>
                </c:pt>
                <c:pt idx="43">
                  <c:v>85.626999999999995</c:v>
                </c:pt>
                <c:pt idx="44">
                  <c:v>89.652000000000001</c:v>
                </c:pt>
                <c:pt idx="45">
                  <c:v>95.914000000000001</c:v>
                </c:pt>
                <c:pt idx="46">
                  <c:v>100.18</c:v>
                </c:pt>
                <c:pt idx="47">
                  <c:v>106.238</c:v>
                </c:pt>
                <c:pt idx="48">
                  <c:v>110.163</c:v>
                </c:pt>
                <c:pt idx="49">
                  <c:v>112.941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9F-4F1B-8A6C-A0D985D0AF11}"/>
            </c:ext>
          </c:extLst>
        </c:ser>
        <c:ser>
          <c:idx val="2"/>
          <c:order val="2"/>
          <c:tx>
            <c:strRef>
              <c:f>Лист1!$E$7</c:f>
              <c:strCache>
                <c:ptCount val="1"/>
                <c:pt idx="0">
                  <c:v>V * S [OPT]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Лист1!$B$8:$B$57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Лист1!$E$8:$E$57</c:f>
              <c:numCache>
                <c:formatCode>General</c:formatCode>
                <c:ptCount val="50"/>
                <c:pt idx="0">
                  <c:v>3.0000000000000001E-3</c:v>
                </c:pt>
                <c:pt idx="1">
                  <c:v>1.2999999999999999E-2</c:v>
                </c:pt>
                <c:pt idx="2">
                  <c:v>2.4E-2</c:v>
                </c:pt>
                <c:pt idx="3">
                  <c:v>4.2000000000000003E-2</c:v>
                </c:pt>
                <c:pt idx="4">
                  <c:v>6.5000000000000002E-2</c:v>
                </c:pt>
                <c:pt idx="5">
                  <c:v>9.5000000000000001E-2</c:v>
                </c:pt>
                <c:pt idx="6">
                  <c:v>0.129</c:v>
                </c:pt>
                <c:pt idx="7">
                  <c:v>0.16900000000000001</c:v>
                </c:pt>
                <c:pt idx="8">
                  <c:v>0.21299999999999999</c:v>
                </c:pt>
                <c:pt idx="9">
                  <c:v>0.26200000000000001</c:v>
                </c:pt>
                <c:pt idx="10">
                  <c:v>0.317</c:v>
                </c:pt>
                <c:pt idx="11">
                  <c:v>0.376</c:v>
                </c:pt>
                <c:pt idx="12">
                  <c:v>0.45600000000000002</c:v>
                </c:pt>
                <c:pt idx="13">
                  <c:v>0.57599999999999996</c:v>
                </c:pt>
                <c:pt idx="14">
                  <c:v>0.62</c:v>
                </c:pt>
                <c:pt idx="15">
                  <c:v>0.70099999999999996</c:v>
                </c:pt>
                <c:pt idx="16">
                  <c:v>0.77800000000000002</c:v>
                </c:pt>
                <c:pt idx="17">
                  <c:v>0.89200000000000002</c:v>
                </c:pt>
                <c:pt idx="18">
                  <c:v>1.0509999999999999</c:v>
                </c:pt>
                <c:pt idx="19">
                  <c:v>1.042</c:v>
                </c:pt>
                <c:pt idx="20">
                  <c:v>1.2090000000000001</c:v>
                </c:pt>
                <c:pt idx="21">
                  <c:v>1.337</c:v>
                </c:pt>
                <c:pt idx="22">
                  <c:v>1.484</c:v>
                </c:pt>
                <c:pt idx="23">
                  <c:v>1.5</c:v>
                </c:pt>
                <c:pt idx="24">
                  <c:v>1.6950000000000001</c:v>
                </c:pt>
                <c:pt idx="25">
                  <c:v>1.7669999999999999</c:v>
                </c:pt>
                <c:pt idx="26">
                  <c:v>2.1</c:v>
                </c:pt>
                <c:pt idx="27">
                  <c:v>2.0449999999999999</c:v>
                </c:pt>
                <c:pt idx="28">
                  <c:v>2.266</c:v>
                </c:pt>
                <c:pt idx="29">
                  <c:v>2.5230000000000001</c:v>
                </c:pt>
                <c:pt idx="30">
                  <c:v>2.72</c:v>
                </c:pt>
                <c:pt idx="31">
                  <c:v>2.92</c:v>
                </c:pt>
                <c:pt idx="32">
                  <c:v>3.0859999999999999</c:v>
                </c:pt>
                <c:pt idx="33">
                  <c:v>3.2749999999999999</c:v>
                </c:pt>
                <c:pt idx="34">
                  <c:v>3.427</c:v>
                </c:pt>
                <c:pt idx="35">
                  <c:v>3.5550000000000002</c:v>
                </c:pt>
                <c:pt idx="36">
                  <c:v>3.8759999999999999</c:v>
                </c:pt>
                <c:pt idx="37">
                  <c:v>3.9990000000000001</c:v>
                </c:pt>
                <c:pt idx="38">
                  <c:v>4.1619999999999999</c:v>
                </c:pt>
                <c:pt idx="39">
                  <c:v>4.7690000000000001</c:v>
                </c:pt>
                <c:pt idx="40">
                  <c:v>4.7320000000000002</c:v>
                </c:pt>
                <c:pt idx="41">
                  <c:v>4.9950000000000001</c:v>
                </c:pt>
                <c:pt idx="42">
                  <c:v>5.1459999999999999</c:v>
                </c:pt>
                <c:pt idx="43">
                  <c:v>5.6440000000000001</c:v>
                </c:pt>
                <c:pt idx="44">
                  <c:v>5.8079999999999998</c:v>
                </c:pt>
                <c:pt idx="45">
                  <c:v>6.1970000000000001</c:v>
                </c:pt>
                <c:pt idx="46">
                  <c:v>6.2679999999999998</c:v>
                </c:pt>
                <c:pt idx="47">
                  <c:v>6.6239999999999997</c:v>
                </c:pt>
                <c:pt idx="48">
                  <c:v>6.2210000000000001</c:v>
                </c:pt>
                <c:pt idx="49">
                  <c:v>7.2169999999999996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9F-4F1B-8A6C-A0D985D0AF1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8462384"/>
        <c:axId val="528459984"/>
      </c:lineChart>
      <c:catAx>
        <c:axId val="5284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28459984"/>
        <c:crosses val="autoZero"/>
        <c:auto val="1"/>
        <c:lblAlgn val="ctr"/>
        <c:lblOffset val="100"/>
        <c:noMultiLvlLbl val="0"/>
      </c:catAx>
      <c:valAx>
        <c:axId val="5284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/>
                  <a:t>Час, 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2846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Заміри швидкості для типу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FLOAT</a:t>
            </a:r>
            <a:endParaRPr lang="uk-UA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Лист1!$I$7</c:f>
              <c:strCache>
                <c:ptCount val="1"/>
                <c:pt idx="0">
                  <c:v>S * 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Лист1!$H$8:$H$57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Лист1!$I$8:$I$57</c:f>
              <c:numCache>
                <c:formatCode>General</c:formatCode>
                <c:ptCount val="50"/>
                <c:pt idx="0">
                  <c:v>1E-3</c:v>
                </c:pt>
                <c:pt idx="1">
                  <c:v>3.0000000000000001E-3</c:v>
                </c:pt>
                <c:pt idx="2">
                  <c:v>6.0000000000000001E-3</c:v>
                </c:pt>
                <c:pt idx="3">
                  <c:v>1.2E-2</c:v>
                </c:pt>
                <c:pt idx="4">
                  <c:v>1.7999999999999999E-2</c:v>
                </c:pt>
                <c:pt idx="5">
                  <c:v>2.5999999999999999E-2</c:v>
                </c:pt>
                <c:pt idx="6">
                  <c:v>3.5999999999999997E-2</c:v>
                </c:pt>
                <c:pt idx="7">
                  <c:v>4.7E-2</c:v>
                </c:pt>
                <c:pt idx="8">
                  <c:v>5.8000000000000003E-2</c:v>
                </c:pt>
                <c:pt idx="9">
                  <c:v>7.0999999999999994E-2</c:v>
                </c:pt>
                <c:pt idx="10">
                  <c:v>8.5999999999999993E-2</c:v>
                </c:pt>
                <c:pt idx="11">
                  <c:v>0.104</c:v>
                </c:pt>
                <c:pt idx="12">
                  <c:v>0.12</c:v>
                </c:pt>
                <c:pt idx="13">
                  <c:v>0.14000000000000001</c:v>
                </c:pt>
                <c:pt idx="14">
                  <c:v>0.161</c:v>
                </c:pt>
                <c:pt idx="15">
                  <c:v>0.183</c:v>
                </c:pt>
                <c:pt idx="16">
                  <c:v>0.21</c:v>
                </c:pt>
                <c:pt idx="17">
                  <c:v>0.23100000000000001</c:v>
                </c:pt>
                <c:pt idx="18">
                  <c:v>0.25900000000000001</c:v>
                </c:pt>
                <c:pt idx="19">
                  <c:v>0.28399999999999997</c:v>
                </c:pt>
                <c:pt idx="20">
                  <c:v>0.313</c:v>
                </c:pt>
                <c:pt idx="21">
                  <c:v>0.34300000000000003</c:v>
                </c:pt>
                <c:pt idx="22">
                  <c:v>0.374</c:v>
                </c:pt>
                <c:pt idx="23">
                  <c:v>0.40799999999999997</c:v>
                </c:pt>
                <c:pt idx="24">
                  <c:v>0.442</c:v>
                </c:pt>
                <c:pt idx="25">
                  <c:v>0.48099999999999998</c:v>
                </c:pt>
                <c:pt idx="26">
                  <c:v>0.51600000000000001</c:v>
                </c:pt>
                <c:pt idx="27">
                  <c:v>0.55400000000000005</c:v>
                </c:pt>
                <c:pt idx="28">
                  <c:v>0.59299999999999997</c:v>
                </c:pt>
                <c:pt idx="29">
                  <c:v>0.63500000000000001</c:v>
                </c:pt>
                <c:pt idx="30">
                  <c:v>0.67800000000000005</c:v>
                </c:pt>
                <c:pt idx="31">
                  <c:v>0.72299999999999998</c:v>
                </c:pt>
                <c:pt idx="32">
                  <c:v>0.77</c:v>
                </c:pt>
                <c:pt idx="33">
                  <c:v>0.81899999999999995</c:v>
                </c:pt>
                <c:pt idx="34">
                  <c:v>0.86499999999999999</c:v>
                </c:pt>
                <c:pt idx="35">
                  <c:v>0.91500000000000004</c:v>
                </c:pt>
                <c:pt idx="36">
                  <c:v>0.96599999999999997</c:v>
                </c:pt>
                <c:pt idx="37">
                  <c:v>1.018</c:v>
                </c:pt>
                <c:pt idx="38">
                  <c:v>1.073</c:v>
                </c:pt>
                <c:pt idx="39">
                  <c:v>1.129</c:v>
                </c:pt>
                <c:pt idx="40">
                  <c:v>1.1910000000000001</c:v>
                </c:pt>
                <c:pt idx="41">
                  <c:v>1.244</c:v>
                </c:pt>
                <c:pt idx="42">
                  <c:v>1.3049999999999999</c:v>
                </c:pt>
                <c:pt idx="43">
                  <c:v>1.3680000000000001</c:v>
                </c:pt>
                <c:pt idx="44">
                  <c:v>1.429</c:v>
                </c:pt>
                <c:pt idx="45">
                  <c:v>1.532</c:v>
                </c:pt>
                <c:pt idx="46">
                  <c:v>1.8</c:v>
                </c:pt>
                <c:pt idx="47">
                  <c:v>1.6259999999999999</c:v>
                </c:pt>
                <c:pt idx="48">
                  <c:v>1.714</c:v>
                </c:pt>
                <c:pt idx="49">
                  <c:v>1.7649999999999999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8-4C9E-AFB5-EBD1FD00D394}"/>
            </c:ext>
          </c:extLst>
        </c:ser>
        <c:ser>
          <c:idx val="1"/>
          <c:order val="1"/>
          <c:tx>
            <c:strRef>
              <c:f>Лист1!$J$7</c:f>
              <c:strCache>
                <c:ptCount val="1"/>
                <c:pt idx="0">
                  <c:v>V * 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Лист1!$H$8:$H$57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Лист1!$J$8:$J$57</c:f>
              <c:numCache>
                <c:formatCode>General</c:formatCode>
                <c:ptCount val="50"/>
                <c:pt idx="0">
                  <c:v>5.0000000000000001E-3</c:v>
                </c:pt>
                <c:pt idx="1">
                  <c:v>2.9000000000000001E-2</c:v>
                </c:pt>
                <c:pt idx="2">
                  <c:v>5.8999999999999997E-2</c:v>
                </c:pt>
                <c:pt idx="3">
                  <c:v>0.123</c:v>
                </c:pt>
                <c:pt idx="4">
                  <c:v>0.19900000000000001</c:v>
                </c:pt>
                <c:pt idx="5">
                  <c:v>0.25900000000000001</c:v>
                </c:pt>
                <c:pt idx="6">
                  <c:v>0.35599999999999998</c:v>
                </c:pt>
                <c:pt idx="7">
                  <c:v>1.4339999999999999</c:v>
                </c:pt>
                <c:pt idx="8">
                  <c:v>0.59799999999999998</c:v>
                </c:pt>
                <c:pt idx="9">
                  <c:v>0.75900000000000001</c:v>
                </c:pt>
                <c:pt idx="10">
                  <c:v>0.90100000000000002</c:v>
                </c:pt>
                <c:pt idx="11">
                  <c:v>1.083</c:v>
                </c:pt>
                <c:pt idx="12">
                  <c:v>1.234</c:v>
                </c:pt>
                <c:pt idx="13">
                  <c:v>1.401</c:v>
                </c:pt>
                <c:pt idx="14">
                  <c:v>1.6379999999999999</c:v>
                </c:pt>
                <c:pt idx="15">
                  <c:v>16.036000000000001</c:v>
                </c:pt>
                <c:pt idx="16">
                  <c:v>3.548</c:v>
                </c:pt>
                <c:pt idx="17">
                  <c:v>3.98</c:v>
                </c:pt>
                <c:pt idx="18">
                  <c:v>4.3949999999999996</c:v>
                </c:pt>
                <c:pt idx="19">
                  <c:v>4.6040000000000001</c:v>
                </c:pt>
                <c:pt idx="20">
                  <c:v>5.4329999999999998</c:v>
                </c:pt>
                <c:pt idx="21">
                  <c:v>6.0039999999999996</c:v>
                </c:pt>
                <c:pt idx="22">
                  <c:v>6.5019999999999998</c:v>
                </c:pt>
                <c:pt idx="23">
                  <c:v>8.3840000000000003</c:v>
                </c:pt>
                <c:pt idx="24">
                  <c:v>7.899</c:v>
                </c:pt>
                <c:pt idx="25">
                  <c:v>8.2249999999999996</c:v>
                </c:pt>
                <c:pt idx="26">
                  <c:v>9.0459999999999994</c:v>
                </c:pt>
                <c:pt idx="27">
                  <c:v>10.15</c:v>
                </c:pt>
                <c:pt idx="28">
                  <c:v>12.004</c:v>
                </c:pt>
                <c:pt idx="29">
                  <c:v>11.503</c:v>
                </c:pt>
                <c:pt idx="30">
                  <c:v>14.204000000000001</c:v>
                </c:pt>
                <c:pt idx="31">
                  <c:v>53.066000000000003</c:v>
                </c:pt>
                <c:pt idx="32">
                  <c:v>70.667000000000002</c:v>
                </c:pt>
                <c:pt idx="33">
                  <c:v>69.951999999999998</c:v>
                </c:pt>
                <c:pt idx="34">
                  <c:v>84.548000000000002</c:v>
                </c:pt>
                <c:pt idx="35">
                  <c:v>80.492000000000004</c:v>
                </c:pt>
                <c:pt idx="36">
                  <c:v>85.29</c:v>
                </c:pt>
                <c:pt idx="37">
                  <c:v>87.171999999999997</c:v>
                </c:pt>
                <c:pt idx="38">
                  <c:v>98.304000000000002</c:v>
                </c:pt>
                <c:pt idx="39">
                  <c:v>92.039000000000001</c:v>
                </c:pt>
                <c:pt idx="40">
                  <c:v>98.441999999999993</c:v>
                </c:pt>
                <c:pt idx="41">
                  <c:v>84.290999999999997</c:v>
                </c:pt>
                <c:pt idx="42">
                  <c:v>107.008</c:v>
                </c:pt>
                <c:pt idx="43">
                  <c:v>122.815</c:v>
                </c:pt>
                <c:pt idx="44">
                  <c:v>114.65600000000001</c:v>
                </c:pt>
                <c:pt idx="45">
                  <c:v>122.866</c:v>
                </c:pt>
                <c:pt idx="46">
                  <c:v>130.83699999999999</c:v>
                </c:pt>
                <c:pt idx="47">
                  <c:v>146.363</c:v>
                </c:pt>
                <c:pt idx="48">
                  <c:v>109.592</c:v>
                </c:pt>
                <c:pt idx="49">
                  <c:v>124.754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D8-4C9E-AFB5-EBD1FD00D394}"/>
            </c:ext>
          </c:extLst>
        </c:ser>
        <c:ser>
          <c:idx val="2"/>
          <c:order val="2"/>
          <c:tx>
            <c:strRef>
              <c:f>Лист1!$K$7</c:f>
              <c:strCache>
                <c:ptCount val="1"/>
                <c:pt idx="0">
                  <c:v>V * S [OPT]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Лист1!$H$8:$H$57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Лист1!$K$8:$K$57</c:f>
              <c:numCache>
                <c:formatCode>General</c:formatCode>
                <c:ptCount val="50"/>
                <c:pt idx="0">
                  <c:v>2E-3</c:v>
                </c:pt>
                <c:pt idx="1">
                  <c:v>1.2999999999999999E-2</c:v>
                </c:pt>
                <c:pt idx="2">
                  <c:v>2.5000000000000001E-2</c:v>
                </c:pt>
                <c:pt idx="3">
                  <c:v>4.2000000000000003E-2</c:v>
                </c:pt>
                <c:pt idx="4">
                  <c:v>6.8000000000000005E-2</c:v>
                </c:pt>
                <c:pt idx="5">
                  <c:v>9.5000000000000001E-2</c:v>
                </c:pt>
                <c:pt idx="6">
                  <c:v>0.129</c:v>
                </c:pt>
                <c:pt idx="7">
                  <c:v>0.16800000000000001</c:v>
                </c:pt>
                <c:pt idx="8">
                  <c:v>0.218</c:v>
                </c:pt>
                <c:pt idx="9">
                  <c:v>0.27200000000000002</c:v>
                </c:pt>
                <c:pt idx="10">
                  <c:v>0.31900000000000001</c:v>
                </c:pt>
                <c:pt idx="11">
                  <c:v>0.41</c:v>
                </c:pt>
                <c:pt idx="12">
                  <c:v>0.47299999999999998</c:v>
                </c:pt>
                <c:pt idx="13">
                  <c:v>0.53</c:v>
                </c:pt>
                <c:pt idx="14">
                  <c:v>0.61099999999999999</c:v>
                </c:pt>
                <c:pt idx="15">
                  <c:v>0.72299999999999998</c:v>
                </c:pt>
                <c:pt idx="16">
                  <c:v>0.82599999999999996</c:v>
                </c:pt>
                <c:pt idx="17">
                  <c:v>0.96199999999999997</c:v>
                </c:pt>
                <c:pt idx="18">
                  <c:v>1.0569999999999999</c:v>
                </c:pt>
                <c:pt idx="19">
                  <c:v>1.095</c:v>
                </c:pt>
                <c:pt idx="20">
                  <c:v>1.1990000000000001</c:v>
                </c:pt>
                <c:pt idx="21">
                  <c:v>1.4350000000000001</c:v>
                </c:pt>
                <c:pt idx="22">
                  <c:v>1.4419999999999999</c:v>
                </c:pt>
                <c:pt idx="23">
                  <c:v>1.573</c:v>
                </c:pt>
                <c:pt idx="24">
                  <c:v>1.7809999999999999</c:v>
                </c:pt>
                <c:pt idx="25">
                  <c:v>1.923</c:v>
                </c:pt>
                <c:pt idx="26">
                  <c:v>1.923</c:v>
                </c:pt>
                <c:pt idx="27">
                  <c:v>2.1269999999999998</c:v>
                </c:pt>
                <c:pt idx="28">
                  <c:v>2.3490000000000002</c:v>
                </c:pt>
                <c:pt idx="29">
                  <c:v>2.44</c:v>
                </c:pt>
                <c:pt idx="30">
                  <c:v>2.5739999999999998</c:v>
                </c:pt>
                <c:pt idx="31">
                  <c:v>2.7810000000000001</c:v>
                </c:pt>
                <c:pt idx="32">
                  <c:v>3.0649999999999999</c:v>
                </c:pt>
                <c:pt idx="33">
                  <c:v>3.1429999999999998</c:v>
                </c:pt>
                <c:pt idx="34">
                  <c:v>3.165</c:v>
                </c:pt>
                <c:pt idx="35">
                  <c:v>3.5379999999999998</c:v>
                </c:pt>
                <c:pt idx="36">
                  <c:v>3.798</c:v>
                </c:pt>
                <c:pt idx="37">
                  <c:v>3.9209999999999998</c:v>
                </c:pt>
                <c:pt idx="38">
                  <c:v>4.2220000000000004</c:v>
                </c:pt>
                <c:pt idx="39">
                  <c:v>4.9950000000000001</c:v>
                </c:pt>
                <c:pt idx="40">
                  <c:v>4.7859999999999996</c:v>
                </c:pt>
                <c:pt idx="41">
                  <c:v>4.8520000000000003</c:v>
                </c:pt>
                <c:pt idx="42">
                  <c:v>5.0289999999999999</c:v>
                </c:pt>
                <c:pt idx="43">
                  <c:v>5.1230000000000002</c:v>
                </c:pt>
                <c:pt idx="44">
                  <c:v>5.6369999999999996</c:v>
                </c:pt>
                <c:pt idx="45">
                  <c:v>5.9710000000000001</c:v>
                </c:pt>
                <c:pt idx="46">
                  <c:v>5.7859999999999996</c:v>
                </c:pt>
                <c:pt idx="47">
                  <c:v>6.5049999999999999</c:v>
                </c:pt>
                <c:pt idx="48">
                  <c:v>6.7149999999999999</c:v>
                </c:pt>
                <c:pt idx="49">
                  <c:v>6.7670000000000003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D8-4C9E-AFB5-EBD1FD00D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703008"/>
        <c:axId val="1980708768"/>
      </c:lineChart>
      <c:catAx>
        <c:axId val="198070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80708768"/>
        <c:crosses val="autoZero"/>
        <c:auto val="1"/>
        <c:lblAlgn val="ctr"/>
        <c:lblOffset val="100"/>
        <c:noMultiLvlLbl val="0"/>
      </c:catAx>
      <c:valAx>
        <c:axId val="198070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8070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Заміри швидкості для типу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DOUBLE</a:t>
            </a:r>
            <a:endParaRPr lang="uk-UA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Лист1!$O$7</c:f>
              <c:strCache>
                <c:ptCount val="1"/>
                <c:pt idx="0">
                  <c:v>S * 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Лист1!$N$8:$N$42</c:f>
              <c:numCache>
                <c:formatCode>General</c:formatCode>
                <c:ptCount val="3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</c:numCache>
            </c:numRef>
          </c:cat>
          <c:val>
            <c:numRef>
              <c:f>Лист1!$O$8:$O$42</c:f>
              <c:numCache>
                <c:formatCode>General</c:formatCode>
                <c:ptCount val="35"/>
                <c:pt idx="0">
                  <c:v>1E-3</c:v>
                </c:pt>
                <c:pt idx="1">
                  <c:v>4.0000000000000001E-3</c:v>
                </c:pt>
                <c:pt idx="2">
                  <c:v>7.0000000000000001E-3</c:v>
                </c:pt>
                <c:pt idx="3">
                  <c:v>1.2999999999999999E-2</c:v>
                </c:pt>
                <c:pt idx="4">
                  <c:v>0.02</c:v>
                </c:pt>
                <c:pt idx="5">
                  <c:v>2.8000000000000001E-2</c:v>
                </c:pt>
                <c:pt idx="6">
                  <c:v>3.9E-2</c:v>
                </c:pt>
                <c:pt idx="7">
                  <c:v>5.0999999999999997E-2</c:v>
                </c:pt>
                <c:pt idx="8">
                  <c:v>6.3E-2</c:v>
                </c:pt>
                <c:pt idx="9">
                  <c:v>7.8E-2</c:v>
                </c:pt>
                <c:pt idx="10">
                  <c:v>9.7000000000000003E-2</c:v>
                </c:pt>
                <c:pt idx="11">
                  <c:v>0.113</c:v>
                </c:pt>
                <c:pt idx="12">
                  <c:v>0.13300000000000001</c:v>
                </c:pt>
                <c:pt idx="13">
                  <c:v>0.153</c:v>
                </c:pt>
                <c:pt idx="14">
                  <c:v>0.193</c:v>
                </c:pt>
                <c:pt idx="15">
                  <c:v>0.191</c:v>
                </c:pt>
                <c:pt idx="16">
                  <c:v>0.217</c:v>
                </c:pt>
                <c:pt idx="17">
                  <c:v>0.24299999999999999</c:v>
                </c:pt>
                <c:pt idx="18">
                  <c:v>0.27100000000000002</c:v>
                </c:pt>
                <c:pt idx="19">
                  <c:v>0.29699999999999999</c:v>
                </c:pt>
                <c:pt idx="20">
                  <c:v>0.32900000000000001</c:v>
                </c:pt>
                <c:pt idx="21">
                  <c:v>0.35699999999999998</c:v>
                </c:pt>
                <c:pt idx="22">
                  <c:v>0.38900000000000001</c:v>
                </c:pt>
                <c:pt idx="23">
                  <c:v>0.42299999999999999</c:v>
                </c:pt>
                <c:pt idx="24">
                  <c:v>0.46300000000000002</c:v>
                </c:pt>
                <c:pt idx="25">
                  <c:v>0.53300000000000003</c:v>
                </c:pt>
                <c:pt idx="26">
                  <c:v>0.55500000000000005</c:v>
                </c:pt>
                <c:pt idx="27">
                  <c:v>0.57999999999999996</c:v>
                </c:pt>
                <c:pt idx="28">
                  <c:v>0.62</c:v>
                </c:pt>
                <c:pt idx="29">
                  <c:v>0.66400000000000003</c:v>
                </c:pt>
                <c:pt idx="30">
                  <c:v>0.71</c:v>
                </c:pt>
                <c:pt idx="31">
                  <c:v>0.755</c:v>
                </c:pt>
                <c:pt idx="32">
                  <c:v>0.83599999999999997</c:v>
                </c:pt>
                <c:pt idx="33">
                  <c:v>0.872</c:v>
                </c:pt>
                <c:pt idx="34">
                  <c:v>0.92200000000000004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6F-4CB6-9E0B-CF501FD62F3C}"/>
            </c:ext>
          </c:extLst>
        </c:ser>
        <c:ser>
          <c:idx val="1"/>
          <c:order val="1"/>
          <c:tx>
            <c:strRef>
              <c:f>Лист1!$P$7</c:f>
              <c:strCache>
                <c:ptCount val="1"/>
                <c:pt idx="0">
                  <c:v>V * 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Лист1!$N$8:$N$42</c:f>
              <c:numCache>
                <c:formatCode>General</c:formatCode>
                <c:ptCount val="3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</c:numCache>
            </c:numRef>
          </c:cat>
          <c:val>
            <c:numRef>
              <c:f>Лист1!$P$8:$P$42</c:f>
              <c:numCache>
                <c:formatCode>General</c:formatCode>
                <c:ptCount val="35"/>
                <c:pt idx="0">
                  <c:v>4.0000000000000001E-3</c:v>
                </c:pt>
                <c:pt idx="1">
                  <c:v>3.2000000000000001E-2</c:v>
                </c:pt>
                <c:pt idx="2">
                  <c:v>6.0999999999999999E-2</c:v>
                </c:pt>
                <c:pt idx="3">
                  <c:v>0.379</c:v>
                </c:pt>
                <c:pt idx="4">
                  <c:v>0.17799999999999999</c:v>
                </c:pt>
                <c:pt idx="5">
                  <c:v>0.26500000000000001</c:v>
                </c:pt>
                <c:pt idx="6">
                  <c:v>0.36199999999999999</c:v>
                </c:pt>
                <c:pt idx="7">
                  <c:v>4.048</c:v>
                </c:pt>
                <c:pt idx="8">
                  <c:v>0.67700000000000005</c:v>
                </c:pt>
                <c:pt idx="9">
                  <c:v>0.81599999999999995</c:v>
                </c:pt>
                <c:pt idx="10">
                  <c:v>1.0369999999999999</c:v>
                </c:pt>
                <c:pt idx="11">
                  <c:v>1.369</c:v>
                </c:pt>
                <c:pt idx="12">
                  <c:v>1.4379999999999999</c:v>
                </c:pt>
                <c:pt idx="13">
                  <c:v>1.722</c:v>
                </c:pt>
                <c:pt idx="14">
                  <c:v>1.9239999999999999</c:v>
                </c:pt>
                <c:pt idx="15">
                  <c:v>14.565</c:v>
                </c:pt>
                <c:pt idx="16">
                  <c:v>16.881</c:v>
                </c:pt>
                <c:pt idx="17">
                  <c:v>18.300999999999998</c:v>
                </c:pt>
                <c:pt idx="18">
                  <c:v>19.564</c:v>
                </c:pt>
                <c:pt idx="19">
                  <c:v>21.728999999999999</c:v>
                </c:pt>
                <c:pt idx="20">
                  <c:v>22.803000000000001</c:v>
                </c:pt>
                <c:pt idx="21">
                  <c:v>25.783999999999999</c:v>
                </c:pt>
                <c:pt idx="22">
                  <c:v>27.872</c:v>
                </c:pt>
                <c:pt idx="23">
                  <c:v>38.667999999999999</c:v>
                </c:pt>
                <c:pt idx="24">
                  <c:v>35.945</c:v>
                </c:pt>
                <c:pt idx="25">
                  <c:v>33.728999999999999</c:v>
                </c:pt>
                <c:pt idx="26">
                  <c:v>36.427999999999997</c:v>
                </c:pt>
                <c:pt idx="27">
                  <c:v>39.136000000000003</c:v>
                </c:pt>
                <c:pt idx="28">
                  <c:v>42.070999999999998</c:v>
                </c:pt>
                <c:pt idx="29">
                  <c:v>44.762</c:v>
                </c:pt>
                <c:pt idx="30">
                  <c:v>47.863</c:v>
                </c:pt>
                <c:pt idx="31">
                  <c:v>51.045000000000002</c:v>
                </c:pt>
                <c:pt idx="32">
                  <c:v>66.465000000000003</c:v>
                </c:pt>
                <c:pt idx="33">
                  <c:v>64.915999999999997</c:v>
                </c:pt>
                <c:pt idx="34">
                  <c:v>57.381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6F-4CB6-9E0B-CF501FD62F3C}"/>
            </c:ext>
          </c:extLst>
        </c:ser>
        <c:ser>
          <c:idx val="2"/>
          <c:order val="2"/>
          <c:tx>
            <c:strRef>
              <c:f>Лист1!$Q$7</c:f>
              <c:strCache>
                <c:ptCount val="1"/>
                <c:pt idx="0">
                  <c:v>V * S [OPT]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Лист1!$N$8:$N$42</c:f>
              <c:numCache>
                <c:formatCode>General</c:formatCode>
                <c:ptCount val="3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</c:numCache>
            </c:numRef>
          </c:cat>
          <c:val>
            <c:numRef>
              <c:f>Лист1!$Q$8:$Q$42</c:f>
              <c:numCache>
                <c:formatCode>General</c:formatCode>
                <c:ptCount val="35"/>
                <c:pt idx="0">
                  <c:v>4.0000000000000001E-3</c:v>
                </c:pt>
                <c:pt idx="1">
                  <c:v>1.0999999999999999E-2</c:v>
                </c:pt>
                <c:pt idx="2">
                  <c:v>2.4E-2</c:v>
                </c:pt>
                <c:pt idx="3">
                  <c:v>4.3999999999999997E-2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0.13500000000000001</c:v>
                </c:pt>
                <c:pt idx="7">
                  <c:v>0.17799999999999999</c:v>
                </c:pt>
                <c:pt idx="8">
                  <c:v>0.23200000000000001</c:v>
                </c:pt>
                <c:pt idx="9">
                  <c:v>0.27700000000000002</c:v>
                </c:pt>
                <c:pt idx="10">
                  <c:v>0.32500000000000001</c:v>
                </c:pt>
                <c:pt idx="11">
                  <c:v>0.40300000000000002</c:v>
                </c:pt>
                <c:pt idx="12">
                  <c:v>0.48599999999999999</c:v>
                </c:pt>
                <c:pt idx="13">
                  <c:v>0.58499999999999996</c:v>
                </c:pt>
                <c:pt idx="14">
                  <c:v>0.66800000000000004</c:v>
                </c:pt>
                <c:pt idx="15">
                  <c:v>0.80800000000000005</c:v>
                </c:pt>
                <c:pt idx="16">
                  <c:v>0.91500000000000004</c:v>
                </c:pt>
                <c:pt idx="17">
                  <c:v>0.96199999999999997</c:v>
                </c:pt>
                <c:pt idx="18">
                  <c:v>1.052</c:v>
                </c:pt>
                <c:pt idx="19">
                  <c:v>1.298</c:v>
                </c:pt>
                <c:pt idx="20">
                  <c:v>1.288</c:v>
                </c:pt>
                <c:pt idx="21">
                  <c:v>1.4139999999999999</c:v>
                </c:pt>
                <c:pt idx="22">
                  <c:v>1.6140000000000001</c:v>
                </c:pt>
                <c:pt idx="23">
                  <c:v>1.7250000000000001</c:v>
                </c:pt>
                <c:pt idx="24">
                  <c:v>1.82</c:v>
                </c:pt>
                <c:pt idx="25">
                  <c:v>1.911</c:v>
                </c:pt>
                <c:pt idx="26">
                  <c:v>2.1469999999999998</c:v>
                </c:pt>
                <c:pt idx="27">
                  <c:v>2.0720000000000001</c:v>
                </c:pt>
                <c:pt idx="28">
                  <c:v>2.3490000000000002</c:v>
                </c:pt>
                <c:pt idx="29">
                  <c:v>2.492</c:v>
                </c:pt>
                <c:pt idx="30">
                  <c:v>2.6920000000000002</c:v>
                </c:pt>
                <c:pt idx="31">
                  <c:v>2.919</c:v>
                </c:pt>
                <c:pt idx="32">
                  <c:v>3.0409999999999999</c:v>
                </c:pt>
                <c:pt idx="33">
                  <c:v>3.173</c:v>
                </c:pt>
                <c:pt idx="34">
                  <c:v>3.4660000000000002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6F-4CB6-9E0B-CF501FD62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646064"/>
        <c:axId val="1980646544"/>
      </c:lineChart>
      <c:catAx>
        <c:axId val="198064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80646544"/>
        <c:crosses val="autoZero"/>
        <c:auto val="1"/>
        <c:lblAlgn val="ctr"/>
        <c:lblOffset val="100"/>
        <c:noMultiLvlLbl val="0"/>
      </c:catAx>
      <c:valAx>
        <c:axId val="19806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8064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4482</xdr:colOff>
      <xdr:row>58</xdr:row>
      <xdr:rowOff>8964</xdr:rowOff>
    </xdr:from>
    <xdr:to>
      <xdr:col>4</xdr:col>
      <xdr:colOff>1443317</xdr:colOff>
      <xdr:row>73</xdr:row>
      <xdr:rowOff>179293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C51DDA3-8EE8-687F-3C6C-EFE2F6A64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8965</xdr:colOff>
      <xdr:row>57</xdr:row>
      <xdr:rowOff>179293</xdr:rowOff>
    </xdr:from>
    <xdr:to>
      <xdr:col>11</xdr:col>
      <xdr:colOff>8965</xdr:colOff>
      <xdr:row>73</xdr:row>
      <xdr:rowOff>170328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614BF43-DA1B-F35F-C1B3-FE7C7A179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13447</xdr:colOff>
      <xdr:row>58</xdr:row>
      <xdr:rowOff>0</xdr:rowOff>
    </xdr:from>
    <xdr:to>
      <xdr:col>17</xdr:col>
      <xdr:colOff>0</xdr:colOff>
      <xdr:row>74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1C1A152-BB0E-4317-A384-DF5F70EB4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57"/>
  <sheetViews>
    <sheetView tabSelected="1" zoomScale="55" zoomScaleNormal="55" workbookViewId="0">
      <selection activeCell="T54" sqref="T54"/>
    </sheetView>
  </sheetViews>
  <sheetFormatPr defaultRowHeight="14.4" x14ac:dyDescent="0.3"/>
  <cols>
    <col min="1" max="1" width="9.44140625" style="1" customWidth="1"/>
    <col min="2" max="2" width="8.88671875" style="1" customWidth="1"/>
    <col min="3" max="3" width="14.21875" style="1" customWidth="1"/>
    <col min="4" max="4" width="16.88671875" style="1" customWidth="1"/>
    <col min="5" max="5" width="21.21875" style="1" customWidth="1"/>
    <col min="6" max="6" width="8.77734375" style="1" customWidth="1"/>
    <col min="7" max="8" width="8.88671875" style="1"/>
    <col min="9" max="9" width="14.21875" style="1" customWidth="1"/>
    <col min="10" max="10" width="16.88671875" style="1" customWidth="1"/>
    <col min="11" max="11" width="21.21875" style="1" customWidth="1"/>
    <col min="12" max="12" width="8.88671875" style="1" customWidth="1"/>
    <col min="13" max="14" width="8.88671875" style="1"/>
    <col min="15" max="15" width="14.21875" style="1" customWidth="1"/>
    <col min="16" max="16" width="16.88671875" style="1" customWidth="1"/>
    <col min="17" max="17" width="21.21875" style="1" customWidth="1"/>
    <col min="18" max="18" width="21.109375" style="1" customWidth="1"/>
    <col min="19" max="16384" width="8.88671875" style="1"/>
  </cols>
  <sheetData>
    <row r="1" spans="2:18" ht="46.2" customHeight="1" x14ac:dyDescent="0.3"/>
    <row r="4" spans="2:18" ht="14.4" customHeight="1" x14ac:dyDescent="0.3">
      <c r="B4" s="2" t="s">
        <v>3</v>
      </c>
      <c r="C4" s="2"/>
      <c r="D4" s="2"/>
      <c r="E4" s="2"/>
      <c r="F4" s="3"/>
      <c r="H4" s="4" t="s">
        <v>4</v>
      </c>
      <c r="I4" s="4"/>
      <c r="J4" s="4"/>
      <c r="K4" s="4"/>
      <c r="L4" s="5"/>
      <c r="N4" s="6" t="s">
        <v>5</v>
      </c>
      <c r="O4" s="6"/>
      <c r="P4" s="6"/>
      <c r="Q4" s="6"/>
      <c r="R4" s="7"/>
    </row>
    <row r="5" spans="2:18" ht="14.4" customHeight="1" x14ac:dyDescent="0.3">
      <c r="B5" s="2"/>
      <c r="C5" s="2"/>
      <c r="D5" s="2"/>
      <c r="E5" s="2"/>
      <c r="F5" s="3"/>
      <c r="H5" s="4"/>
      <c r="I5" s="4"/>
      <c r="J5" s="4"/>
      <c r="K5" s="4"/>
      <c r="L5" s="5"/>
      <c r="N5" s="6"/>
      <c r="O5" s="6"/>
      <c r="P5" s="6"/>
      <c r="Q5" s="6"/>
      <c r="R5" s="7"/>
    </row>
    <row r="7" spans="2:18" ht="28.2" customHeight="1" x14ac:dyDescent="0.3">
      <c r="B7" s="8" t="s">
        <v>0</v>
      </c>
      <c r="C7" s="9" t="s">
        <v>2</v>
      </c>
      <c r="D7" s="9" t="s">
        <v>1</v>
      </c>
      <c r="E7" s="9" t="s">
        <v>6</v>
      </c>
      <c r="F7" s="10"/>
      <c r="H7" s="11" t="s">
        <v>0</v>
      </c>
      <c r="I7" s="12" t="s">
        <v>2</v>
      </c>
      <c r="J7" s="12" t="s">
        <v>1</v>
      </c>
      <c r="K7" s="12" t="s">
        <v>6</v>
      </c>
      <c r="L7" s="10"/>
      <c r="N7" s="13" t="s">
        <v>0</v>
      </c>
      <c r="O7" s="14" t="s">
        <v>2</v>
      </c>
      <c r="P7" s="14" t="s">
        <v>1</v>
      </c>
      <c r="Q7" s="14" t="s">
        <v>6</v>
      </c>
      <c r="R7" s="10"/>
    </row>
    <row r="8" spans="2:18" ht="19.95" customHeight="1" x14ac:dyDescent="0.3">
      <c r="B8" s="15">
        <f t="shared" ref="B8:B12" si="0">(ROW(C8)-7)*1000</f>
        <v>1000</v>
      </c>
      <c r="C8" s="16">
        <v>0</v>
      </c>
      <c r="D8" s="16">
        <v>4.0000000000000001E-3</v>
      </c>
      <c r="E8" s="16">
        <v>3.0000000000000001E-3</v>
      </c>
      <c r="F8" s="17"/>
      <c r="H8" s="18">
        <f t="shared" ref="H8:H12" si="1">(ROW(C8)-7)*1000</f>
        <v>1000</v>
      </c>
      <c r="I8" s="19">
        <v>1E-3</v>
      </c>
      <c r="J8" s="19">
        <v>5.0000000000000001E-3</v>
      </c>
      <c r="K8" s="19">
        <v>2E-3</v>
      </c>
      <c r="L8" s="20"/>
      <c r="N8" s="21">
        <f t="shared" ref="N8:N12" si="2">(ROW(C8)-7)*1000</f>
        <v>1000</v>
      </c>
      <c r="O8" s="22">
        <v>1E-3</v>
      </c>
      <c r="P8" s="22">
        <v>4.0000000000000001E-3</v>
      </c>
      <c r="Q8" s="22">
        <v>4.0000000000000001E-3</v>
      </c>
      <c r="R8" s="23"/>
    </row>
    <row r="9" spans="2:18" ht="19.95" customHeight="1" x14ac:dyDescent="0.3">
      <c r="B9" s="15">
        <f t="shared" si="0"/>
        <v>2000</v>
      </c>
      <c r="C9" s="16">
        <v>2E-3</v>
      </c>
      <c r="D9" s="16">
        <v>3.3000000000000002E-2</v>
      </c>
      <c r="E9" s="16">
        <v>1.2999999999999999E-2</v>
      </c>
      <c r="F9" s="17"/>
      <c r="H9" s="18">
        <f t="shared" si="1"/>
        <v>2000</v>
      </c>
      <c r="I9" s="19">
        <v>3.0000000000000001E-3</v>
      </c>
      <c r="J9" s="19">
        <v>2.9000000000000001E-2</v>
      </c>
      <c r="K9" s="19">
        <v>1.2999999999999999E-2</v>
      </c>
      <c r="L9" s="20"/>
      <c r="N9" s="21">
        <f t="shared" si="2"/>
        <v>2000</v>
      </c>
      <c r="O9" s="22">
        <v>4.0000000000000001E-3</v>
      </c>
      <c r="P9" s="22">
        <v>3.2000000000000001E-2</v>
      </c>
      <c r="Q9" s="22">
        <v>1.0999999999999999E-2</v>
      </c>
      <c r="R9" s="23"/>
    </row>
    <row r="10" spans="2:18" ht="19.95" customHeight="1" x14ac:dyDescent="0.3">
      <c r="B10" s="15">
        <f t="shared" si="0"/>
        <v>3000</v>
      </c>
      <c r="C10" s="16">
        <v>3.0000000000000001E-3</v>
      </c>
      <c r="D10" s="16">
        <v>7.1999999999999995E-2</v>
      </c>
      <c r="E10" s="16">
        <v>2.4E-2</v>
      </c>
      <c r="F10" s="17"/>
      <c r="H10" s="18">
        <f t="shared" si="1"/>
        <v>3000</v>
      </c>
      <c r="I10" s="19">
        <v>6.0000000000000001E-3</v>
      </c>
      <c r="J10" s="19">
        <v>5.8999999999999997E-2</v>
      </c>
      <c r="K10" s="19">
        <v>2.5000000000000001E-2</v>
      </c>
      <c r="L10" s="20"/>
      <c r="N10" s="21">
        <f t="shared" si="2"/>
        <v>3000</v>
      </c>
      <c r="O10" s="22">
        <v>7.0000000000000001E-3</v>
      </c>
      <c r="P10" s="22">
        <v>6.0999999999999999E-2</v>
      </c>
      <c r="Q10" s="22">
        <v>2.4E-2</v>
      </c>
      <c r="R10" s="23"/>
    </row>
    <row r="11" spans="2:18" ht="19.95" customHeight="1" x14ac:dyDescent="0.3">
      <c r="B11" s="15">
        <f t="shared" si="0"/>
        <v>4000</v>
      </c>
      <c r="C11" s="16">
        <v>4.0000000000000001E-3</v>
      </c>
      <c r="D11" s="16">
        <v>0.127</v>
      </c>
      <c r="E11" s="16">
        <v>4.2000000000000003E-2</v>
      </c>
      <c r="F11" s="17"/>
      <c r="H11" s="18">
        <f t="shared" si="1"/>
        <v>4000</v>
      </c>
      <c r="I11" s="19">
        <v>1.2E-2</v>
      </c>
      <c r="J11" s="19">
        <v>0.123</v>
      </c>
      <c r="K11" s="19">
        <v>4.2000000000000003E-2</v>
      </c>
      <c r="L11" s="20"/>
      <c r="N11" s="21">
        <f t="shared" si="2"/>
        <v>4000</v>
      </c>
      <c r="O11" s="22">
        <v>1.2999999999999999E-2</v>
      </c>
      <c r="P11" s="22">
        <v>0.379</v>
      </c>
      <c r="Q11" s="22">
        <v>4.3999999999999997E-2</v>
      </c>
      <c r="R11" s="23"/>
    </row>
    <row r="12" spans="2:18" ht="19.95" customHeight="1" x14ac:dyDescent="0.3">
      <c r="B12" s="15">
        <f t="shared" si="0"/>
        <v>5000</v>
      </c>
      <c r="C12" s="16">
        <v>7.0000000000000001E-3</v>
      </c>
      <c r="D12" s="16">
        <v>0.23400000000000001</v>
      </c>
      <c r="E12" s="16">
        <v>6.5000000000000002E-2</v>
      </c>
      <c r="F12" s="17"/>
      <c r="H12" s="18">
        <f t="shared" si="1"/>
        <v>5000</v>
      </c>
      <c r="I12" s="19">
        <v>1.7999999999999999E-2</v>
      </c>
      <c r="J12" s="19">
        <v>0.19900000000000001</v>
      </c>
      <c r="K12" s="19">
        <v>6.8000000000000005E-2</v>
      </c>
      <c r="L12" s="20"/>
      <c r="N12" s="21">
        <f t="shared" si="2"/>
        <v>5000</v>
      </c>
      <c r="O12" s="22">
        <v>0.02</v>
      </c>
      <c r="P12" s="22">
        <v>0.17799999999999999</v>
      </c>
      <c r="Q12" s="22">
        <v>7.0000000000000007E-2</v>
      </c>
      <c r="R12" s="23"/>
    </row>
    <row r="13" spans="2:18" ht="19.95" customHeight="1" x14ac:dyDescent="0.3">
      <c r="B13" s="15">
        <f>(ROW(C13)-7)*1000</f>
        <v>6000</v>
      </c>
      <c r="C13" s="16">
        <v>0.01</v>
      </c>
      <c r="D13" s="16">
        <v>0.29699999999999999</v>
      </c>
      <c r="E13" s="16">
        <v>9.5000000000000001E-2</v>
      </c>
      <c r="F13" s="17"/>
      <c r="H13" s="18">
        <f>(ROW(C13)-7)*1000</f>
        <v>6000</v>
      </c>
      <c r="I13" s="19">
        <v>2.5999999999999999E-2</v>
      </c>
      <c r="J13" s="19">
        <v>0.25900000000000001</v>
      </c>
      <c r="K13" s="19">
        <v>9.5000000000000001E-2</v>
      </c>
      <c r="L13" s="20"/>
      <c r="N13" s="21">
        <f>(ROW(C13)-7)*1000</f>
        <v>6000</v>
      </c>
      <c r="O13" s="22">
        <v>2.8000000000000001E-2</v>
      </c>
      <c r="P13" s="22">
        <v>0.26500000000000001</v>
      </c>
      <c r="Q13" s="22">
        <v>0.1</v>
      </c>
      <c r="R13" s="23"/>
    </row>
    <row r="14" spans="2:18" ht="19.95" customHeight="1" x14ac:dyDescent="0.3">
      <c r="B14" s="15">
        <f t="shared" ref="B14:B57" si="3">(ROW(C14)-7)*1000</f>
        <v>7000</v>
      </c>
      <c r="C14" s="16">
        <v>1.7000000000000001E-2</v>
      </c>
      <c r="D14" s="16">
        <v>0.40600000000000003</v>
      </c>
      <c r="E14" s="16">
        <v>0.129</v>
      </c>
      <c r="F14" s="17"/>
      <c r="H14" s="18">
        <f t="shared" ref="H14:H57" si="4">(ROW(C14)-7)*1000</f>
        <v>7000</v>
      </c>
      <c r="I14" s="19">
        <v>3.5999999999999997E-2</v>
      </c>
      <c r="J14" s="19">
        <v>0.35599999999999998</v>
      </c>
      <c r="K14" s="19">
        <v>0.129</v>
      </c>
      <c r="L14" s="20"/>
      <c r="N14" s="21">
        <f t="shared" ref="N14:N42" si="5">(ROW(C14)-7)*1000</f>
        <v>7000</v>
      </c>
      <c r="O14" s="22">
        <v>3.9E-2</v>
      </c>
      <c r="P14" s="22">
        <v>0.36199999999999999</v>
      </c>
      <c r="Q14" s="22">
        <v>0.13500000000000001</v>
      </c>
      <c r="R14" s="23"/>
    </row>
    <row r="15" spans="2:18" ht="19.95" customHeight="1" x14ac:dyDescent="0.3">
      <c r="B15" s="15">
        <f t="shared" si="3"/>
        <v>8000</v>
      </c>
      <c r="C15" s="16">
        <v>0.02</v>
      </c>
      <c r="D15" s="16">
        <v>0.82699999999999996</v>
      </c>
      <c r="E15" s="16">
        <v>0.16900000000000001</v>
      </c>
      <c r="F15" s="17"/>
      <c r="H15" s="18">
        <f t="shared" si="4"/>
        <v>8000</v>
      </c>
      <c r="I15" s="19">
        <v>4.7E-2</v>
      </c>
      <c r="J15" s="19">
        <v>1.4339999999999999</v>
      </c>
      <c r="K15" s="19">
        <v>0.16800000000000001</v>
      </c>
      <c r="L15" s="20"/>
      <c r="N15" s="21">
        <f t="shared" si="5"/>
        <v>8000</v>
      </c>
      <c r="O15" s="22">
        <v>5.0999999999999997E-2</v>
      </c>
      <c r="P15" s="22">
        <v>4.048</v>
      </c>
      <c r="Q15" s="22">
        <v>0.17799999999999999</v>
      </c>
      <c r="R15" s="23"/>
    </row>
    <row r="16" spans="2:18" ht="19.95" customHeight="1" x14ac:dyDescent="0.3">
      <c r="B16" s="15">
        <f t="shared" si="3"/>
        <v>9000</v>
      </c>
      <c r="C16" s="16">
        <v>0.02</v>
      </c>
      <c r="D16" s="16">
        <v>0.72099999999999997</v>
      </c>
      <c r="E16" s="16">
        <v>0.21299999999999999</v>
      </c>
      <c r="F16" s="17"/>
      <c r="H16" s="18">
        <f t="shared" si="4"/>
        <v>9000</v>
      </c>
      <c r="I16" s="19">
        <v>5.8000000000000003E-2</v>
      </c>
      <c r="J16" s="19">
        <v>0.59799999999999998</v>
      </c>
      <c r="K16" s="19">
        <v>0.218</v>
      </c>
      <c r="L16" s="20"/>
      <c r="N16" s="21">
        <f t="shared" si="5"/>
        <v>9000</v>
      </c>
      <c r="O16" s="22">
        <v>6.3E-2</v>
      </c>
      <c r="P16" s="22">
        <v>0.67700000000000005</v>
      </c>
      <c r="Q16" s="22">
        <v>0.23200000000000001</v>
      </c>
      <c r="R16" s="23"/>
    </row>
    <row r="17" spans="2:18" ht="19.95" customHeight="1" x14ac:dyDescent="0.3">
      <c r="B17" s="15">
        <f t="shared" si="3"/>
        <v>10000</v>
      </c>
      <c r="C17" s="16">
        <v>3.2000000000000001E-2</v>
      </c>
      <c r="D17" s="16">
        <v>0.82599999999999996</v>
      </c>
      <c r="E17" s="16">
        <v>0.26200000000000001</v>
      </c>
      <c r="F17" s="17"/>
      <c r="H17" s="18">
        <f t="shared" si="4"/>
        <v>10000</v>
      </c>
      <c r="I17" s="19">
        <v>7.0999999999999994E-2</v>
      </c>
      <c r="J17" s="19">
        <v>0.75900000000000001</v>
      </c>
      <c r="K17" s="19">
        <v>0.27200000000000002</v>
      </c>
      <c r="L17" s="20"/>
      <c r="N17" s="21">
        <f t="shared" si="5"/>
        <v>10000</v>
      </c>
      <c r="O17" s="22">
        <v>7.8E-2</v>
      </c>
      <c r="P17" s="22">
        <v>0.81599999999999995</v>
      </c>
      <c r="Q17" s="22">
        <v>0.27700000000000002</v>
      </c>
      <c r="R17" s="23"/>
    </row>
    <row r="18" spans="2:18" ht="19.95" customHeight="1" x14ac:dyDescent="0.3">
      <c r="B18" s="15">
        <f t="shared" si="3"/>
        <v>11000</v>
      </c>
      <c r="C18" s="16">
        <v>3.4000000000000002E-2</v>
      </c>
      <c r="D18" s="16">
        <v>1</v>
      </c>
      <c r="E18" s="16">
        <v>0.317</v>
      </c>
      <c r="F18" s="17"/>
      <c r="H18" s="18">
        <f t="shared" si="4"/>
        <v>11000</v>
      </c>
      <c r="I18" s="19">
        <v>8.5999999999999993E-2</v>
      </c>
      <c r="J18" s="19">
        <v>0.90100000000000002</v>
      </c>
      <c r="K18" s="19">
        <v>0.31900000000000001</v>
      </c>
      <c r="L18" s="20"/>
      <c r="N18" s="21">
        <f t="shared" si="5"/>
        <v>11000</v>
      </c>
      <c r="O18" s="22">
        <v>9.7000000000000003E-2</v>
      </c>
      <c r="P18" s="22">
        <v>1.0369999999999999</v>
      </c>
      <c r="Q18" s="22">
        <v>0.32500000000000001</v>
      </c>
      <c r="R18" s="23"/>
    </row>
    <row r="19" spans="2:18" ht="19.95" customHeight="1" x14ac:dyDescent="0.3">
      <c r="B19" s="15">
        <f t="shared" si="3"/>
        <v>12000</v>
      </c>
      <c r="C19" s="16">
        <v>3.9E-2</v>
      </c>
      <c r="D19" s="16">
        <v>1.2150000000000001</v>
      </c>
      <c r="E19" s="16">
        <v>0.376</v>
      </c>
      <c r="F19" s="17"/>
      <c r="H19" s="18">
        <f t="shared" si="4"/>
        <v>12000</v>
      </c>
      <c r="I19" s="19">
        <v>0.104</v>
      </c>
      <c r="J19" s="19">
        <v>1.083</v>
      </c>
      <c r="K19" s="19">
        <v>0.41</v>
      </c>
      <c r="L19" s="20"/>
      <c r="N19" s="21">
        <f t="shared" si="5"/>
        <v>12000</v>
      </c>
      <c r="O19" s="22">
        <v>0.113</v>
      </c>
      <c r="P19" s="22">
        <v>1.369</v>
      </c>
      <c r="Q19" s="22">
        <v>0.40300000000000002</v>
      </c>
      <c r="R19" s="23"/>
    </row>
    <row r="20" spans="2:18" ht="19.95" customHeight="1" x14ac:dyDescent="0.3">
      <c r="B20" s="15">
        <f t="shared" si="3"/>
        <v>13000</v>
      </c>
      <c r="C20" s="16">
        <v>3.9E-2</v>
      </c>
      <c r="D20" s="16">
        <v>1.3959999999999999</v>
      </c>
      <c r="E20" s="16">
        <v>0.45600000000000002</v>
      </c>
      <c r="F20" s="17"/>
      <c r="H20" s="18">
        <f t="shared" si="4"/>
        <v>13000</v>
      </c>
      <c r="I20" s="19">
        <v>0.12</v>
      </c>
      <c r="J20" s="19">
        <v>1.234</v>
      </c>
      <c r="K20" s="19">
        <v>0.47299999999999998</v>
      </c>
      <c r="L20" s="20"/>
      <c r="N20" s="21">
        <f t="shared" si="5"/>
        <v>13000</v>
      </c>
      <c r="O20" s="22">
        <v>0.13300000000000001</v>
      </c>
      <c r="P20" s="22">
        <v>1.4379999999999999</v>
      </c>
      <c r="Q20" s="22">
        <v>0.48599999999999999</v>
      </c>
      <c r="R20" s="23"/>
    </row>
    <row r="21" spans="2:18" ht="19.95" customHeight="1" x14ac:dyDescent="0.3">
      <c r="B21" s="15">
        <f t="shared" si="3"/>
        <v>14000</v>
      </c>
      <c r="C21" s="16">
        <v>6.2E-2</v>
      </c>
      <c r="D21" s="16">
        <v>1.611</v>
      </c>
      <c r="E21" s="16">
        <v>0.57599999999999996</v>
      </c>
      <c r="F21" s="17"/>
      <c r="H21" s="18">
        <f t="shared" si="4"/>
        <v>14000</v>
      </c>
      <c r="I21" s="19">
        <v>0.14000000000000001</v>
      </c>
      <c r="J21" s="19">
        <v>1.401</v>
      </c>
      <c r="K21" s="19">
        <v>0.53</v>
      </c>
      <c r="L21" s="20"/>
      <c r="N21" s="21">
        <f t="shared" si="5"/>
        <v>14000</v>
      </c>
      <c r="O21" s="22">
        <v>0.153</v>
      </c>
      <c r="P21" s="22">
        <v>1.722</v>
      </c>
      <c r="Q21" s="22">
        <v>0.58499999999999996</v>
      </c>
      <c r="R21" s="23"/>
    </row>
    <row r="22" spans="2:18" ht="19.95" customHeight="1" x14ac:dyDescent="0.3">
      <c r="B22" s="15">
        <f t="shared" si="3"/>
        <v>15000</v>
      </c>
      <c r="C22" s="16">
        <v>5.0999999999999997E-2</v>
      </c>
      <c r="D22" s="16">
        <v>1.849</v>
      </c>
      <c r="E22" s="16">
        <v>0.62</v>
      </c>
      <c r="F22" s="17"/>
      <c r="H22" s="18">
        <f t="shared" si="4"/>
        <v>15000</v>
      </c>
      <c r="I22" s="19">
        <v>0.161</v>
      </c>
      <c r="J22" s="19">
        <v>1.6379999999999999</v>
      </c>
      <c r="K22" s="19">
        <v>0.61099999999999999</v>
      </c>
      <c r="L22" s="20"/>
      <c r="N22" s="21">
        <f t="shared" si="5"/>
        <v>15000</v>
      </c>
      <c r="O22" s="22">
        <v>0.193</v>
      </c>
      <c r="P22" s="22">
        <v>1.9239999999999999</v>
      </c>
      <c r="Q22" s="22">
        <v>0.66800000000000004</v>
      </c>
      <c r="R22" s="23"/>
    </row>
    <row r="23" spans="2:18" ht="19.95" customHeight="1" x14ac:dyDescent="0.3">
      <c r="B23" s="15">
        <f t="shared" si="3"/>
        <v>16000</v>
      </c>
      <c r="C23" s="16">
        <v>5.8999999999999997E-2</v>
      </c>
      <c r="D23" s="16">
        <v>9.9969999999999999</v>
      </c>
      <c r="E23" s="16">
        <v>0.70099999999999996</v>
      </c>
      <c r="F23" s="17"/>
      <c r="H23" s="18">
        <f t="shared" si="4"/>
        <v>16000</v>
      </c>
      <c r="I23" s="19">
        <v>0.183</v>
      </c>
      <c r="J23" s="19">
        <v>16.036000000000001</v>
      </c>
      <c r="K23" s="19">
        <v>0.72299999999999998</v>
      </c>
      <c r="L23" s="20"/>
      <c r="N23" s="21">
        <f t="shared" si="5"/>
        <v>16000</v>
      </c>
      <c r="O23" s="22">
        <v>0.191</v>
      </c>
      <c r="P23" s="22">
        <v>14.565</v>
      </c>
      <c r="Q23" s="22">
        <v>0.80800000000000005</v>
      </c>
      <c r="R23" s="23"/>
    </row>
    <row r="24" spans="2:18" ht="19.95" customHeight="1" x14ac:dyDescent="0.3">
      <c r="B24" s="15">
        <f t="shared" si="3"/>
        <v>17000</v>
      </c>
      <c r="C24" s="16">
        <v>6.7000000000000004E-2</v>
      </c>
      <c r="D24" s="16">
        <v>3.4769999999999999</v>
      </c>
      <c r="E24" s="16">
        <v>0.77800000000000002</v>
      </c>
      <c r="F24" s="17"/>
      <c r="H24" s="18">
        <f t="shared" si="4"/>
        <v>17000</v>
      </c>
      <c r="I24" s="19">
        <v>0.21</v>
      </c>
      <c r="J24" s="19">
        <v>3.548</v>
      </c>
      <c r="K24" s="19">
        <v>0.82599999999999996</v>
      </c>
      <c r="L24" s="20"/>
      <c r="N24" s="21">
        <f t="shared" si="5"/>
        <v>17000</v>
      </c>
      <c r="O24" s="22">
        <v>0.217</v>
      </c>
      <c r="P24" s="22">
        <v>16.881</v>
      </c>
      <c r="Q24" s="22">
        <v>0.91500000000000004</v>
      </c>
      <c r="R24" s="23"/>
    </row>
    <row r="25" spans="2:18" ht="19.95" customHeight="1" x14ac:dyDescent="0.3">
      <c r="B25" s="15">
        <f t="shared" si="3"/>
        <v>18000</v>
      </c>
      <c r="C25" s="16">
        <v>7.2999999999999995E-2</v>
      </c>
      <c r="D25" s="16">
        <v>3.7080000000000002</v>
      </c>
      <c r="E25" s="16">
        <v>0.89200000000000002</v>
      </c>
      <c r="F25" s="17"/>
      <c r="H25" s="18">
        <f t="shared" si="4"/>
        <v>18000</v>
      </c>
      <c r="I25" s="19">
        <v>0.23100000000000001</v>
      </c>
      <c r="J25" s="19">
        <v>3.98</v>
      </c>
      <c r="K25" s="19">
        <v>0.96199999999999997</v>
      </c>
      <c r="L25" s="20"/>
      <c r="N25" s="21">
        <f t="shared" si="5"/>
        <v>18000</v>
      </c>
      <c r="O25" s="22">
        <v>0.24299999999999999</v>
      </c>
      <c r="P25" s="22">
        <v>18.300999999999998</v>
      </c>
      <c r="Q25" s="22">
        <v>0.96199999999999997</v>
      </c>
      <c r="R25" s="23"/>
    </row>
    <row r="26" spans="2:18" ht="19.95" customHeight="1" x14ac:dyDescent="0.3">
      <c r="B26" s="15">
        <f t="shared" si="3"/>
        <v>19000</v>
      </c>
      <c r="C26" s="16">
        <v>8.2000000000000003E-2</v>
      </c>
      <c r="D26" s="16">
        <v>4.1989999999999998</v>
      </c>
      <c r="E26" s="16">
        <v>1.0509999999999999</v>
      </c>
      <c r="F26" s="17"/>
      <c r="H26" s="18">
        <f t="shared" si="4"/>
        <v>19000</v>
      </c>
      <c r="I26" s="19">
        <v>0.25900000000000001</v>
      </c>
      <c r="J26" s="19">
        <v>4.3949999999999996</v>
      </c>
      <c r="K26" s="19">
        <v>1.0569999999999999</v>
      </c>
      <c r="L26" s="20"/>
      <c r="N26" s="21">
        <f t="shared" si="5"/>
        <v>19000</v>
      </c>
      <c r="O26" s="22">
        <v>0.27100000000000002</v>
      </c>
      <c r="P26" s="22">
        <v>19.564</v>
      </c>
      <c r="Q26" s="22">
        <v>1.052</v>
      </c>
      <c r="R26" s="23"/>
    </row>
    <row r="27" spans="2:18" ht="19.95" customHeight="1" x14ac:dyDescent="0.3">
      <c r="B27" s="15">
        <f t="shared" si="3"/>
        <v>20000</v>
      </c>
      <c r="C27" s="16">
        <v>9.1999999999999998E-2</v>
      </c>
      <c r="D27" s="16">
        <v>4.9669999999999996</v>
      </c>
      <c r="E27" s="16">
        <v>1.042</v>
      </c>
      <c r="F27" s="17"/>
      <c r="H27" s="18">
        <f t="shared" si="4"/>
        <v>20000</v>
      </c>
      <c r="I27" s="19">
        <v>0.28399999999999997</v>
      </c>
      <c r="J27" s="19">
        <v>4.6040000000000001</v>
      </c>
      <c r="K27" s="19">
        <v>1.095</v>
      </c>
      <c r="L27" s="20"/>
      <c r="N27" s="21">
        <f t="shared" si="5"/>
        <v>20000</v>
      </c>
      <c r="O27" s="22">
        <v>0.29699999999999999</v>
      </c>
      <c r="P27" s="22">
        <v>21.728999999999999</v>
      </c>
      <c r="Q27" s="22">
        <v>1.298</v>
      </c>
      <c r="R27" s="23"/>
    </row>
    <row r="28" spans="2:18" ht="19.95" customHeight="1" x14ac:dyDescent="0.3">
      <c r="B28" s="15">
        <f t="shared" si="3"/>
        <v>21000</v>
      </c>
      <c r="C28" s="16">
        <v>9.9000000000000005E-2</v>
      </c>
      <c r="D28" s="16">
        <v>5.3470000000000004</v>
      </c>
      <c r="E28" s="16">
        <v>1.2090000000000001</v>
      </c>
      <c r="F28" s="17"/>
      <c r="H28" s="18">
        <f t="shared" si="4"/>
        <v>21000</v>
      </c>
      <c r="I28" s="19">
        <v>0.313</v>
      </c>
      <c r="J28" s="19">
        <v>5.4329999999999998</v>
      </c>
      <c r="K28" s="19">
        <v>1.1990000000000001</v>
      </c>
      <c r="L28" s="20"/>
      <c r="N28" s="21">
        <f t="shared" si="5"/>
        <v>21000</v>
      </c>
      <c r="O28" s="22">
        <v>0.32900000000000001</v>
      </c>
      <c r="P28" s="22">
        <v>22.803000000000001</v>
      </c>
      <c r="Q28" s="22">
        <v>1.288</v>
      </c>
      <c r="R28" s="23"/>
    </row>
    <row r="29" spans="2:18" ht="19.95" customHeight="1" x14ac:dyDescent="0.3">
      <c r="B29" s="15">
        <f t="shared" si="3"/>
        <v>22000</v>
      </c>
      <c r="C29" s="16">
        <v>0.109</v>
      </c>
      <c r="D29" s="16">
        <v>5.9740000000000002</v>
      </c>
      <c r="E29" s="16">
        <v>1.337</v>
      </c>
      <c r="F29" s="17"/>
      <c r="H29" s="18">
        <f t="shared" si="4"/>
        <v>22000</v>
      </c>
      <c r="I29" s="19">
        <v>0.34300000000000003</v>
      </c>
      <c r="J29" s="19">
        <v>6.0039999999999996</v>
      </c>
      <c r="K29" s="19">
        <v>1.4350000000000001</v>
      </c>
      <c r="L29" s="20"/>
      <c r="N29" s="21">
        <f t="shared" si="5"/>
        <v>22000</v>
      </c>
      <c r="O29" s="22">
        <v>0.35699999999999998</v>
      </c>
      <c r="P29" s="22">
        <v>25.783999999999999</v>
      </c>
      <c r="Q29" s="22">
        <v>1.4139999999999999</v>
      </c>
      <c r="R29" s="23"/>
    </row>
    <row r="30" spans="2:18" ht="19.95" customHeight="1" x14ac:dyDescent="0.3">
      <c r="B30" s="15">
        <f t="shared" si="3"/>
        <v>23000</v>
      </c>
      <c r="C30" s="16">
        <v>0.16400000000000001</v>
      </c>
      <c r="D30" s="16">
        <v>6.5220000000000002</v>
      </c>
      <c r="E30" s="16">
        <v>1.484</v>
      </c>
      <c r="F30" s="17"/>
      <c r="H30" s="18">
        <f t="shared" si="4"/>
        <v>23000</v>
      </c>
      <c r="I30" s="19">
        <v>0.374</v>
      </c>
      <c r="J30" s="19">
        <v>6.5019999999999998</v>
      </c>
      <c r="K30" s="19">
        <v>1.4419999999999999</v>
      </c>
      <c r="L30" s="20"/>
      <c r="N30" s="21">
        <f t="shared" si="5"/>
        <v>23000</v>
      </c>
      <c r="O30" s="22">
        <v>0.38900000000000001</v>
      </c>
      <c r="P30" s="22">
        <v>27.872</v>
      </c>
      <c r="Q30" s="22">
        <v>1.6140000000000001</v>
      </c>
      <c r="R30" s="23"/>
    </row>
    <row r="31" spans="2:18" ht="19.95" customHeight="1" x14ac:dyDescent="0.3">
      <c r="B31" s="15">
        <f t="shared" si="3"/>
        <v>24000</v>
      </c>
      <c r="C31" s="16">
        <v>0.13</v>
      </c>
      <c r="D31" s="16">
        <v>7.2050000000000001</v>
      </c>
      <c r="E31" s="16">
        <v>1.5</v>
      </c>
      <c r="F31" s="17"/>
      <c r="H31" s="18">
        <f t="shared" si="4"/>
        <v>24000</v>
      </c>
      <c r="I31" s="19">
        <v>0.40799999999999997</v>
      </c>
      <c r="J31" s="19">
        <v>8.3840000000000003</v>
      </c>
      <c r="K31" s="19">
        <v>1.573</v>
      </c>
      <c r="L31" s="20"/>
      <c r="N31" s="21">
        <f t="shared" si="5"/>
        <v>24000</v>
      </c>
      <c r="O31" s="22">
        <v>0.42299999999999999</v>
      </c>
      <c r="P31" s="22">
        <v>38.667999999999999</v>
      </c>
      <c r="Q31" s="22">
        <v>1.7250000000000001</v>
      </c>
      <c r="R31" s="23"/>
    </row>
    <row r="32" spans="2:18" ht="19.95" customHeight="1" x14ac:dyDescent="0.3">
      <c r="B32" s="15">
        <f t="shared" si="3"/>
        <v>25000</v>
      </c>
      <c r="C32" s="16">
        <v>0.14000000000000001</v>
      </c>
      <c r="D32" s="16">
        <v>7.8410000000000002</v>
      </c>
      <c r="E32" s="16">
        <v>1.6950000000000001</v>
      </c>
      <c r="F32" s="17"/>
      <c r="H32" s="18">
        <f t="shared" si="4"/>
        <v>25000</v>
      </c>
      <c r="I32" s="19">
        <v>0.442</v>
      </c>
      <c r="J32" s="19">
        <v>7.899</v>
      </c>
      <c r="K32" s="19">
        <v>1.7809999999999999</v>
      </c>
      <c r="L32" s="20"/>
      <c r="N32" s="21">
        <f t="shared" si="5"/>
        <v>25000</v>
      </c>
      <c r="O32" s="22">
        <v>0.46300000000000002</v>
      </c>
      <c r="P32" s="22">
        <v>35.945</v>
      </c>
      <c r="Q32" s="22">
        <v>1.82</v>
      </c>
      <c r="R32" s="23"/>
    </row>
    <row r="33" spans="2:18" ht="19.95" customHeight="1" x14ac:dyDescent="0.3">
      <c r="B33" s="15">
        <f t="shared" si="3"/>
        <v>26000</v>
      </c>
      <c r="C33" s="16">
        <v>0.153</v>
      </c>
      <c r="D33" s="16">
        <v>8.3510000000000009</v>
      </c>
      <c r="E33" s="16">
        <v>1.7669999999999999</v>
      </c>
      <c r="F33" s="17"/>
      <c r="H33" s="18">
        <f t="shared" si="4"/>
        <v>26000</v>
      </c>
      <c r="I33" s="19">
        <v>0.48099999999999998</v>
      </c>
      <c r="J33" s="19">
        <v>8.2249999999999996</v>
      </c>
      <c r="K33" s="19">
        <v>1.923</v>
      </c>
      <c r="L33" s="20"/>
      <c r="N33" s="21">
        <f t="shared" si="5"/>
        <v>26000</v>
      </c>
      <c r="O33" s="22">
        <v>0.53300000000000003</v>
      </c>
      <c r="P33" s="22">
        <v>33.728999999999999</v>
      </c>
      <c r="Q33" s="22">
        <v>1.911</v>
      </c>
      <c r="R33" s="23"/>
    </row>
    <row r="34" spans="2:18" ht="19.95" customHeight="1" x14ac:dyDescent="0.3">
      <c r="B34" s="15">
        <f t="shared" si="3"/>
        <v>27000</v>
      </c>
      <c r="C34" s="16">
        <v>0.16400000000000001</v>
      </c>
      <c r="D34" s="16">
        <v>9.0180000000000007</v>
      </c>
      <c r="E34" s="16">
        <v>2.1</v>
      </c>
      <c r="F34" s="17"/>
      <c r="H34" s="18">
        <f t="shared" si="4"/>
        <v>27000</v>
      </c>
      <c r="I34" s="19">
        <v>0.51600000000000001</v>
      </c>
      <c r="J34" s="19">
        <v>9.0459999999999994</v>
      </c>
      <c r="K34" s="19">
        <v>1.923</v>
      </c>
      <c r="L34" s="20"/>
      <c r="N34" s="21">
        <f t="shared" si="5"/>
        <v>27000</v>
      </c>
      <c r="O34" s="22">
        <v>0.55500000000000005</v>
      </c>
      <c r="P34" s="22">
        <v>36.427999999999997</v>
      </c>
      <c r="Q34" s="22">
        <v>2.1469999999999998</v>
      </c>
      <c r="R34" s="23"/>
    </row>
    <row r="35" spans="2:18" ht="19.95" customHeight="1" x14ac:dyDescent="0.3">
      <c r="B35" s="15">
        <f t="shared" si="3"/>
        <v>28000</v>
      </c>
      <c r="C35" s="16">
        <v>0.17699999999999999</v>
      </c>
      <c r="D35" s="16">
        <v>10.129</v>
      </c>
      <c r="E35" s="16">
        <v>2.0449999999999999</v>
      </c>
      <c r="F35" s="17"/>
      <c r="H35" s="18">
        <f t="shared" si="4"/>
        <v>28000</v>
      </c>
      <c r="I35" s="19">
        <v>0.55400000000000005</v>
      </c>
      <c r="J35" s="19">
        <v>10.15</v>
      </c>
      <c r="K35" s="19">
        <v>2.1269999999999998</v>
      </c>
      <c r="L35" s="20"/>
      <c r="N35" s="21">
        <f t="shared" si="5"/>
        <v>28000</v>
      </c>
      <c r="O35" s="22">
        <v>0.57999999999999996</v>
      </c>
      <c r="P35" s="22">
        <v>39.136000000000003</v>
      </c>
      <c r="Q35" s="22">
        <v>2.0720000000000001</v>
      </c>
      <c r="R35" s="23"/>
    </row>
    <row r="36" spans="2:18" ht="19.95" customHeight="1" x14ac:dyDescent="0.3">
      <c r="B36" s="15">
        <f t="shared" si="3"/>
        <v>29000</v>
      </c>
      <c r="C36" s="16">
        <v>0.189</v>
      </c>
      <c r="D36" s="16">
        <v>10.782</v>
      </c>
      <c r="E36" s="16">
        <v>2.266</v>
      </c>
      <c r="F36" s="17"/>
      <c r="H36" s="18">
        <f t="shared" si="4"/>
        <v>29000</v>
      </c>
      <c r="I36" s="19">
        <v>0.59299999999999997</v>
      </c>
      <c r="J36" s="19">
        <v>12.004</v>
      </c>
      <c r="K36" s="19">
        <v>2.3490000000000002</v>
      </c>
      <c r="L36" s="20"/>
      <c r="N36" s="21">
        <f t="shared" si="5"/>
        <v>29000</v>
      </c>
      <c r="O36" s="22">
        <v>0.62</v>
      </c>
      <c r="P36" s="22">
        <v>42.070999999999998</v>
      </c>
      <c r="Q36" s="22">
        <v>2.3490000000000002</v>
      </c>
      <c r="R36" s="23"/>
    </row>
    <row r="37" spans="2:18" ht="19.95" customHeight="1" x14ac:dyDescent="0.3">
      <c r="B37" s="15">
        <f t="shared" si="3"/>
        <v>30000</v>
      </c>
      <c r="C37" s="16">
        <v>0.20200000000000001</v>
      </c>
      <c r="D37" s="16">
        <v>11.488</v>
      </c>
      <c r="E37" s="16">
        <v>2.5230000000000001</v>
      </c>
      <c r="F37" s="17"/>
      <c r="H37" s="18">
        <f t="shared" si="4"/>
        <v>30000</v>
      </c>
      <c r="I37" s="19">
        <v>0.63500000000000001</v>
      </c>
      <c r="J37" s="19">
        <v>11.503</v>
      </c>
      <c r="K37" s="19">
        <v>2.44</v>
      </c>
      <c r="L37" s="20"/>
      <c r="N37" s="21">
        <f t="shared" si="5"/>
        <v>30000</v>
      </c>
      <c r="O37" s="22">
        <v>0.66400000000000003</v>
      </c>
      <c r="P37" s="22">
        <v>44.762</v>
      </c>
      <c r="Q37" s="22">
        <v>2.492</v>
      </c>
      <c r="R37" s="23"/>
    </row>
    <row r="38" spans="2:18" ht="19.95" customHeight="1" x14ac:dyDescent="0.3">
      <c r="B38" s="15">
        <f t="shared" si="3"/>
        <v>31000</v>
      </c>
      <c r="C38" s="16">
        <v>0.219</v>
      </c>
      <c r="D38" s="16">
        <v>14.81</v>
      </c>
      <c r="E38" s="16">
        <v>2.72</v>
      </c>
      <c r="F38" s="17"/>
      <c r="H38" s="18">
        <f t="shared" si="4"/>
        <v>31000</v>
      </c>
      <c r="I38" s="19">
        <v>0.67800000000000005</v>
      </c>
      <c r="J38" s="19">
        <v>14.204000000000001</v>
      </c>
      <c r="K38" s="19">
        <v>2.5739999999999998</v>
      </c>
      <c r="L38" s="20"/>
      <c r="N38" s="21">
        <f t="shared" si="5"/>
        <v>31000</v>
      </c>
      <c r="O38" s="22">
        <v>0.71</v>
      </c>
      <c r="P38" s="22">
        <v>47.863</v>
      </c>
      <c r="Q38" s="22">
        <v>2.6920000000000002</v>
      </c>
      <c r="R38" s="23"/>
    </row>
    <row r="39" spans="2:18" ht="19.95" customHeight="1" x14ac:dyDescent="0.3">
      <c r="B39" s="15">
        <f t="shared" si="3"/>
        <v>32000</v>
      </c>
      <c r="C39" s="16">
        <v>0.22800000000000001</v>
      </c>
      <c r="D39" s="16">
        <v>43.654000000000003</v>
      </c>
      <c r="E39" s="16">
        <v>2.92</v>
      </c>
      <c r="F39" s="17"/>
      <c r="H39" s="18">
        <f t="shared" si="4"/>
        <v>32000</v>
      </c>
      <c r="I39" s="19">
        <v>0.72299999999999998</v>
      </c>
      <c r="J39" s="19">
        <v>53.066000000000003</v>
      </c>
      <c r="K39" s="19">
        <v>2.7810000000000001</v>
      </c>
      <c r="L39" s="20"/>
      <c r="N39" s="21">
        <f t="shared" si="5"/>
        <v>32000</v>
      </c>
      <c r="O39" s="22">
        <v>0.755</v>
      </c>
      <c r="P39" s="22">
        <v>51.045000000000002</v>
      </c>
      <c r="Q39" s="22">
        <v>2.919</v>
      </c>
      <c r="R39" s="23"/>
    </row>
    <row r="40" spans="2:18" ht="19.95" customHeight="1" x14ac:dyDescent="0.3">
      <c r="B40" s="15">
        <f t="shared" si="3"/>
        <v>33000</v>
      </c>
      <c r="C40" s="16">
        <v>0.23699999999999999</v>
      </c>
      <c r="D40" s="16">
        <v>43.38</v>
      </c>
      <c r="E40" s="16">
        <v>3.0859999999999999</v>
      </c>
      <c r="F40" s="17"/>
      <c r="H40" s="18">
        <f t="shared" si="4"/>
        <v>33000</v>
      </c>
      <c r="I40" s="19">
        <v>0.77</v>
      </c>
      <c r="J40" s="19">
        <v>70.667000000000002</v>
      </c>
      <c r="K40" s="19">
        <v>3.0649999999999999</v>
      </c>
      <c r="L40" s="20"/>
      <c r="N40" s="21">
        <f t="shared" si="5"/>
        <v>33000</v>
      </c>
      <c r="O40" s="22">
        <v>0.83599999999999997</v>
      </c>
      <c r="P40" s="22">
        <v>66.465000000000003</v>
      </c>
      <c r="Q40" s="22">
        <v>3.0409999999999999</v>
      </c>
      <c r="R40" s="23"/>
    </row>
    <row r="41" spans="2:18" ht="19.95" customHeight="1" x14ac:dyDescent="0.3">
      <c r="B41" s="15">
        <f t="shared" si="3"/>
        <v>34000</v>
      </c>
      <c r="C41" s="16">
        <v>0.252</v>
      </c>
      <c r="D41" s="16">
        <v>45.35</v>
      </c>
      <c r="E41" s="16">
        <v>3.2749999999999999</v>
      </c>
      <c r="F41" s="17"/>
      <c r="H41" s="18">
        <f t="shared" si="4"/>
        <v>34000</v>
      </c>
      <c r="I41" s="19">
        <v>0.81899999999999995</v>
      </c>
      <c r="J41" s="19">
        <v>69.951999999999998</v>
      </c>
      <c r="K41" s="19">
        <v>3.1429999999999998</v>
      </c>
      <c r="L41" s="20"/>
      <c r="N41" s="21">
        <f t="shared" si="5"/>
        <v>34000</v>
      </c>
      <c r="O41" s="22">
        <v>0.872</v>
      </c>
      <c r="P41" s="22">
        <v>64.915999999999997</v>
      </c>
      <c r="Q41" s="22">
        <v>3.173</v>
      </c>
      <c r="R41" s="23"/>
    </row>
    <row r="42" spans="2:18" ht="19.95" customHeight="1" x14ac:dyDescent="0.3">
      <c r="B42" s="15">
        <f t="shared" si="3"/>
        <v>35000</v>
      </c>
      <c r="C42" s="16">
        <v>0.26600000000000001</v>
      </c>
      <c r="D42" s="16">
        <v>51.226999999999997</v>
      </c>
      <c r="E42" s="16">
        <v>3.427</v>
      </c>
      <c r="F42" s="17"/>
      <c r="H42" s="18">
        <f t="shared" si="4"/>
        <v>35000</v>
      </c>
      <c r="I42" s="19">
        <v>0.86499999999999999</v>
      </c>
      <c r="J42" s="19">
        <v>84.548000000000002</v>
      </c>
      <c r="K42" s="19">
        <v>3.165</v>
      </c>
      <c r="L42" s="20"/>
      <c r="N42" s="21">
        <f t="shared" si="5"/>
        <v>35000</v>
      </c>
      <c r="O42" s="22">
        <v>0.92200000000000004</v>
      </c>
      <c r="P42" s="22">
        <v>57.381</v>
      </c>
      <c r="Q42" s="22">
        <v>3.4660000000000002</v>
      </c>
      <c r="R42" s="23"/>
    </row>
    <row r="43" spans="2:18" ht="19.95" customHeight="1" x14ac:dyDescent="0.3">
      <c r="B43" s="15">
        <f t="shared" si="3"/>
        <v>36000</v>
      </c>
      <c r="C43" s="16">
        <v>0.28199999999999997</v>
      </c>
      <c r="D43" s="16">
        <v>53.863</v>
      </c>
      <c r="E43" s="16">
        <v>3.5550000000000002</v>
      </c>
      <c r="F43" s="17"/>
      <c r="H43" s="18">
        <f t="shared" si="4"/>
        <v>36000</v>
      </c>
      <c r="I43" s="19">
        <v>0.91500000000000004</v>
      </c>
      <c r="J43" s="19">
        <v>80.492000000000004</v>
      </c>
      <c r="K43" s="19">
        <v>3.5379999999999998</v>
      </c>
      <c r="L43" s="20"/>
      <c r="N43" s="24"/>
      <c r="O43" s="23"/>
      <c r="P43" s="23"/>
      <c r="Q43" s="23"/>
      <c r="R43" s="23"/>
    </row>
    <row r="44" spans="2:18" ht="19.95" customHeight="1" x14ac:dyDescent="0.3">
      <c r="B44" s="15">
        <f t="shared" si="3"/>
        <v>37000</v>
      </c>
      <c r="C44" s="16">
        <v>0.29899999999999999</v>
      </c>
      <c r="D44" s="16">
        <v>59.113999999999997</v>
      </c>
      <c r="E44" s="16">
        <v>3.8759999999999999</v>
      </c>
      <c r="F44" s="17"/>
      <c r="H44" s="18">
        <f t="shared" si="4"/>
        <v>37000</v>
      </c>
      <c r="I44" s="19">
        <v>0.96599999999999997</v>
      </c>
      <c r="J44" s="19">
        <v>85.29</v>
      </c>
      <c r="K44" s="19">
        <v>3.798</v>
      </c>
      <c r="L44" s="20"/>
      <c r="N44" s="24"/>
      <c r="O44" s="23"/>
      <c r="P44" s="23"/>
      <c r="Q44" s="23"/>
      <c r="R44" s="23"/>
    </row>
    <row r="45" spans="2:18" ht="19.95" customHeight="1" x14ac:dyDescent="0.3">
      <c r="B45" s="15">
        <f t="shared" si="3"/>
        <v>38000</v>
      </c>
      <c r="C45" s="16">
        <v>0.315</v>
      </c>
      <c r="D45" s="16">
        <v>57.569000000000003</v>
      </c>
      <c r="E45" s="16">
        <v>3.9990000000000001</v>
      </c>
      <c r="F45" s="17"/>
      <c r="H45" s="18">
        <f t="shared" si="4"/>
        <v>38000</v>
      </c>
      <c r="I45" s="19">
        <v>1.018</v>
      </c>
      <c r="J45" s="19">
        <v>87.171999999999997</v>
      </c>
      <c r="K45" s="19">
        <v>3.9209999999999998</v>
      </c>
      <c r="L45" s="20"/>
      <c r="N45" s="24"/>
      <c r="O45" s="23"/>
      <c r="P45" s="23"/>
      <c r="Q45" s="23"/>
      <c r="R45" s="23"/>
    </row>
    <row r="46" spans="2:18" ht="19.95" customHeight="1" x14ac:dyDescent="0.3">
      <c r="B46" s="15">
        <f t="shared" si="3"/>
        <v>39000</v>
      </c>
      <c r="C46" s="16">
        <v>0.33200000000000002</v>
      </c>
      <c r="D46" s="16">
        <v>64.216999999999999</v>
      </c>
      <c r="E46" s="16">
        <v>4.1619999999999999</v>
      </c>
      <c r="F46" s="17"/>
      <c r="H46" s="18">
        <f t="shared" si="4"/>
        <v>39000</v>
      </c>
      <c r="I46" s="19">
        <v>1.073</v>
      </c>
      <c r="J46" s="19">
        <v>98.304000000000002</v>
      </c>
      <c r="K46" s="19">
        <v>4.2220000000000004</v>
      </c>
      <c r="L46" s="20"/>
      <c r="N46" s="24"/>
      <c r="O46" s="23"/>
      <c r="P46" s="23"/>
      <c r="Q46" s="23"/>
      <c r="R46" s="23"/>
    </row>
    <row r="47" spans="2:18" ht="19.95" customHeight="1" x14ac:dyDescent="0.3">
      <c r="B47" s="15">
        <f t="shared" si="3"/>
        <v>40000</v>
      </c>
      <c r="C47" s="16">
        <v>0.34599999999999997</v>
      </c>
      <c r="D47" s="16">
        <v>74.552000000000007</v>
      </c>
      <c r="E47" s="16">
        <v>4.7690000000000001</v>
      </c>
      <c r="F47" s="17"/>
      <c r="H47" s="18">
        <f t="shared" si="4"/>
        <v>40000</v>
      </c>
      <c r="I47" s="19">
        <v>1.129</v>
      </c>
      <c r="J47" s="19">
        <v>92.039000000000001</v>
      </c>
      <c r="K47" s="19">
        <v>4.9950000000000001</v>
      </c>
      <c r="L47" s="20"/>
      <c r="N47" s="24"/>
      <c r="O47" s="23"/>
      <c r="P47" s="23"/>
      <c r="Q47" s="23"/>
      <c r="R47" s="23"/>
    </row>
    <row r="48" spans="2:18" ht="19.95" customHeight="1" x14ac:dyDescent="0.3">
      <c r="B48" s="15">
        <f t="shared" si="3"/>
        <v>41000</v>
      </c>
      <c r="C48" s="25">
        <v>0.40500000000000003</v>
      </c>
      <c r="D48" s="25">
        <v>73.463999999999999</v>
      </c>
      <c r="E48" s="25">
        <v>4.7320000000000002</v>
      </c>
      <c r="F48" s="26"/>
      <c r="H48" s="18">
        <f t="shared" si="4"/>
        <v>41000</v>
      </c>
      <c r="I48" s="19">
        <v>1.1910000000000001</v>
      </c>
      <c r="J48" s="19">
        <v>98.441999999999993</v>
      </c>
      <c r="K48" s="19">
        <v>4.7859999999999996</v>
      </c>
      <c r="L48" s="20"/>
      <c r="N48" s="24"/>
      <c r="O48" s="23"/>
      <c r="P48" s="23"/>
      <c r="Q48" s="23"/>
      <c r="R48" s="23"/>
    </row>
    <row r="49" spans="2:18" ht="19.95" customHeight="1" x14ac:dyDescent="0.3">
      <c r="B49" s="15">
        <f t="shared" si="3"/>
        <v>42000</v>
      </c>
      <c r="C49" s="25">
        <v>0.38400000000000001</v>
      </c>
      <c r="D49" s="25">
        <v>75.638999999999996</v>
      </c>
      <c r="E49" s="25">
        <v>4.9950000000000001</v>
      </c>
      <c r="F49" s="26"/>
      <c r="H49" s="18">
        <f t="shared" si="4"/>
        <v>42000</v>
      </c>
      <c r="I49" s="19">
        <v>1.244</v>
      </c>
      <c r="J49" s="19">
        <v>84.290999999999997</v>
      </c>
      <c r="K49" s="19">
        <v>4.8520000000000003</v>
      </c>
      <c r="L49" s="20"/>
      <c r="N49" s="24"/>
      <c r="O49" s="23"/>
      <c r="P49" s="23"/>
      <c r="Q49" s="23"/>
      <c r="R49" s="23"/>
    </row>
    <row r="50" spans="2:18" ht="19.95" customHeight="1" x14ac:dyDescent="0.3">
      <c r="B50" s="15">
        <f t="shared" si="3"/>
        <v>43000</v>
      </c>
      <c r="C50" s="25">
        <v>0.39800000000000002</v>
      </c>
      <c r="D50" s="25">
        <v>81.245999999999995</v>
      </c>
      <c r="E50" s="25">
        <v>5.1459999999999999</v>
      </c>
      <c r="F50" s="26"/>
      <c r="H50" s="18">
        <f t="shared" si="4"/>
        <v>43000</v>
      </c>
      <c r="I50" s="19">
        <v>1.3049999999999999</v>
      </c>
      <c r="J50" s="19">
        <v>107.008</v>
      </c>
      <c r="K50" s="19">
        <v>5.0289999999999999</v>
      </c>
      <c r="L50" s="20"/>
      <c r="N50" s="24"/>
      <c r="O50" s="23"/>
      <c r="P50" s="23"/>
      <c r="Q50" s="23"/>
      <c r="R50" s="23"/>
    </row>
    <row r="51" spans="2:18" ht="19.95" customHeight="1" x14ac:dyDescent="0.3">
      <c r="B51" s="15">
        <f t="shared" si="3"/>
        <v>44000</v>
      </c>
      <c r="C51" s="25">
        <v>0.41899999999999998</v>
      </c>
      <c r="D51" s="25">
        <v>85.626999999999995</v>
      </c>
      <c r="E51" s="25">
        <v>5.6440000000000001</v>
      </c>
      <c r="F51" s="26"/>
      <c r="H51" s="18">
        <f t="shared" si="4"/>
        <v>44000</v>
      </c>
      <c r="I51" s="19">
        <v>1.3680000000000001</v>
      </c>
      <c r="J51" s="19">
        <v>122.815</v>
      </c>
      <c r="K51" s="19">
        <v>5.1230000000000002</v>
      </c>
      <c r="L51" s="20"/>
      <c r="N51" s="24"/>
      <c r="O51" s="23"/>
      <c r="P51" s="23"/>
      <c r="Q51" s="23"/>
      <c r="R51" s="23"/>
    </row>
    <row r="52" spans="2:18" ht="19.95" customHeight="1" x14ac:dyDescent="0.3">
      <c r="B52" s="15">
        <f t="shared" si="3"/>
        <v>45000</v>
      </c>
      <c r="C52" s="25">
        <v>0.437</v>
      </c>
      <c r="D52" s="25">
        <v>89.652000000000001</v>
      </c>
      <c r="E52" s="25">
        <v>5.8079999999999998</v>
      </c>
      <c r="F52" s="26"/>
      <c r="H52" s="18">
        <f t="shared" si="4"/>
        <v>45000</v>
      </c>
      <c r="I52" s="19">
        <v>1.429</v>
      </c>
      <c r="J52" s="19">
        <v>114.65600000000001</v>
      </c>
      <c r="K52" s="19">
        <v>5.6369999999999996</v>
      </c>
      <c r="L52" s="20"/>
      <c r="N52" s="24"/>
      <c r="O52" s="23"/>
      <c r="P52" s="23"/>
      <c r="Q52" s="23"/>
      <c r="R52" s="23"/>
    </row>
    <row r="53" spans="2:18" ht="19.95" customHeight="1" x14ac:dyDescent="0.3">
      <c r="B53" s="15">
        <f t="shared" si="3"/>
        <v>46000</v>
      </c>
      <c r="C53" s="25">
        <v>0.45700000000000002</v>
      </c>
      <c r="D53" s="25">
        <v>95.914000000000001</v>
      </c>
      <c r="E53" s="25">
        <v>6.1970000000000001</v>
      </c>
      <c r="F53" s="26"/>
      <c r="H53" s="18">
        <f t="shared" si="4"/>
        <v>46000</v>
      </c>
      <c r="I53" s="19">
        <v>1.532</v>
      </c>
      <c r="J53" s="19">
        <v>122.866</v>
      </c>
      <c r="K53" s="19">
        <v>5.9710000000000001</v>
      </c>
      <c r="L53" s="20"/>
      <c r="N53" s="24"/>
      <c r="O53" s="23"/>
      <c r="P53" s="23"/>
      <c r="Q53" s="23"/>
      <c r="R53" s="23"/>
    </row>
    <row r="54" spans="2:18" ht="19.95" customHeight="1" x14ac:dyDescent="0.3">
      <c r="B54" s="15">
        <f t="shared" si="3"/>
        <v>47000</v>
      </c>
      <c r="C54" s="25">
        <v>0.499</v>
      </c>
      <c r="D54" s="25">
        <v>100.18</v>
      </c>
      <c r="E54" s="25">
        <v>6.2679999999999998</v>
      </c>
      <c r="F54" s="26"/>
      <c r="H54" s="18">
        <f t="shared" si="4"/>
        <v>47000</v>
      </c>
      <c r="I54" s="19">
        <v>1.8</v>
      </c>
      <c r="J54" s="19">
        <v>130.83699999999999</v>
      </c>
      <c r="K54" s="19">
        <v>5.7859999999999996</v>
      </c>
      <c r="L54" s="20"/>
      <c r="N54" s="24"/>
    </row>
    <row r="55" spans="2:18" ht="19.95" customHeight="1" x14ac:dyDescent="0.3">
      <c r="B55" s="15">
        <f t="shared" si="3"/>
        <v>48000</v>
      </c>
      <c r="C55" s="25">
        <v>0.49399999999999999</v>
      </c>
      <c r="D55" s="25">
        <v>106.238</v>
      </c>
      <c r="E55" s="25">
        <v>6.6239999999999997</v>
      </c>
      <c r="F55" s="26"/>
      <c r="H55" s="18">
        <f t="shared" si="4"/>
        <v>48000</v>
      </c>
      <c r="I55" s="19">
        <v>1.6259999999999999</v>
      </c>
      <c r="J55" s="19">
        <v>146.363</v>
      </c>
      <c r="K55" s="19">
        <v>6.5049999999999999</v>
      </c>
      <c r="L55" s="20"/>
      <c r="N55" s="24"/>
    </row>
    <row r="56" spans="2:18" ht="19.95" customHeight="1" x14ac:dyDescent="0.3">
      <c r="B56" s="15">
        <f t="shared" si="3"/>
        <v>49000</v>
      </c>
      <c r="C56" s="25">
        <v>0.51500000000000001</v>
      </c>
      <c r="D56" s="25">
        <v>110.163</v>
      </c>
      <c r="E56" s="25">
        <v>6.2210000000000001</v>
      </c>
      <c r="F56" s="26"/>
      <c r="H56" s="18">
        <f t="shared" si="4"/>
        <v>49000</v>
      </c>
      <c r="I56" s="19">
        <v>1.714</v>
      </c>
      <c r="J56" s="19">
        <v>109.592</v>
      </c>
      <c r="K56" s="19">
        <v>6.7149999999999999</v>
      </c>
      <c r="L56" s="20"/>
      <c r="N56" s="24"/>
    </row>
    <row r="57" spans="2:18" ht="19.95" customHeight="1" x14ac:dyDescent="0.3">
      <c r="B57" s="15">
        <f t="shared" si="3"/>
        <v>50000</v>
      </c>
      <c r="C57" s="25">
        <v>0.53700000000000003</v>
      </c>
      <c r="D57" s="25">
        <v>112.941</v>
      </c>
      <c r="E57" s="25">
        <v>7.2169999999999996</v>
      </c>
      <c r="F57" s="26"/>
      <c r="H57" s="18">
        <f t="shared" si="4"/>
        <v>50000</v>
      </c>
      <c r="I57" s="19">
        <v>1.7649999999999999</v>
      </c>
      <c r="J57" s="19">
        <v>124.754</v>
      </c>
      <c r="K57" s="19">
        <v>6.7670000000000003</v>
      </c>
      <c r="L57" s="20"/>
      <c r="N57" s="24"/>
    </row>
  </sheetData>
  <mergeCells count="3">
    <mergeCell ref="H4:K5"/>
    <mergeCell ref="B4:E5"/>
    <mergeCell ref="N4:Q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zxmikacat</dc:creator>
  <cp:lastModifiedBy>Негря Дмитро Іванович</cp:lastModifiedBy>
  <dcterms:created xsi:type="dcterms:W3CDTF">2015-06-05T18:19:34Z</dcterms:created>
  <dcterms:modified xsi:type="dcterms:W3CDTF">2025-10-13T23:26:10Z</dcterms:modified>
</cp:coreProperties>
</file>